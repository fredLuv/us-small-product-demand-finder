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b9e150e5b44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a501fa28c9d4661"/>
    <x:sheet xmlns:r="http://schemas.openxmlformats.org/officeDocument/2006/relationships" name="Country Matrix" sheetId="2" r:id="R652912ba4ed94eed"/>
    <x:sheet xmlns:r="http://schemas.openxmlformats.org/officeDocument/2006/relationships" name="Provider Matrix" sheetId="3" r:id="Ra4fbd091054a4761"/>
    <x:sheet xmlns:r="http://schemas.openxmlformats.org/officeDocument/2006/relationships" name="Payment Methods" sheetId="4" r:id="Rd00937797fc049ca"/>
    <x:sheet xmlns:r="http://schemas.openxmlformats.org/officeDocument/2006/relationships" name="Seller Stack" sheetId="5" r:id="R670eb4a85ccb4461"/>
    <x:sheet xmlns:r="http://schemas.openxmlformats.org/officeDocument/2006/relationships" name="Sources" sheetId="6" r:id="R1e189087196746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75985"/>
      <x:name val="Carlito"/>
    </x:font>
    <x:font>
      <x:b/>
      <x:sz val="11"/>
      <x:color rgb="FFFFFFFF"/>
      <x:name val="Carlito"/>
    </x:font>
    <x:font>
      <x:sz val="10"/>
      <x:color rgb="FF111827"/>
      <x:name val="Calibri"/>
    </x:font>
    <x:font>
      <x:b/>
      <x:sz val="10"/>
      <x:color rgb="FF111827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1F4E79"/>
      </x:patternFill>
    </x:fill>
  </x:fills>
  <x:borders count="14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top style="thin">
        <x:color rgb="FFD1D5DB"/>
      </x:top>
      <x:bottom style="thin">
        <x:color rgb="FFD1D5DB"/>
      </x:bottom>
    </x:border>
    <x:border>
      <x:right style="thin">
        <x:color rgb="FFE5E7E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5" fillId="4" borderId="9" xfId="0" applyNumberFormat="1" applyFont="1" applyFill="1" applyBorder="1" applyAlignment="1">
      <x:alignment horizontal="center"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horizontal="center" vertical="top" wrapText="1"/>
    </x:xf>
    <x:xf numFmtId="0" fontId="5" fillId="4" borderId="2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5" fillId="4" borderId="10" xfId="0" applyNumberFormat="1" applyFont="1" applyFill="1" applyBorder="1" applyAlignment="1">
      <x:alignment horizontal="center"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8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9d11353d44d1d" /><Relationship Type="http://schemas.openxmlformats.org/officeDocument/2006/relationships/theme" Target="/xl/theme/theme1.xml" Id="R819ead556a7d4932" /><Relationship Type="http://schemas.openxmlformats.org/officeDocument/2006/relationships/sharedStrings" Target="/xl/sharedStrings.xml" Id="R0913046bb7de4fde" /><Relationship Type="http://schemas.openxmlformats.org/officeDocument/2006/relationships/worksheet" Target="/xl/worksheets/sheet1.xml" Id="R7a501fa28c9d4661" /><Relationship Type="http://schemas.openxmlformats.org/officeDocument/2006/relationships/worksheet" Target="/xl/worksheets/sheet2.xml" Id="R652912ba4ed94eed" /><Relationship Type="http://schemas.openxmlformats.org/officeDocument/2006/relationships/worksheet" Target="/xl/worksheets/sheet3.xml" Id="Ra4fbd091054a4761" /><Relationship Type="http://schemas.openxmlformats.org/officeDocument/2006/relationships/worksheet" Target="/xl/worksheets/sheet4.xml" Id="Rd00937797fc049ca" /><Relationship Type="http://schemas.openxmlformats.org/officeDocument/2006/relationships/worksheet" Target="/xl/worksheets/sheet5.xml" Id="R670eb4a85ccb4461" /><Relationship Type="http://schemas.openxmlformats.org/officeDocument/2006/relationships/worksheet" Target="/xl/worksheets/sheet6.xml" Id="R1e1890871967461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a7b55435dd7478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/>
              <a:t>Top Market Priority Scores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/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Score</c:v>
          </c:tx>
          <c:cat>
            <c:strLit>
              <c:ptCount val="8"/>
              <c:pt idx="0">
                <c:v>=Dashboard!D5</c:v>
              </c:pt>
              <c:pt idx="1">
                <c:v>=Dashboard!D6</c:v>
              </c:pt>
              <c:pt idx="2">
                <c:v>=Dashboard!D7</c:v>
              </c:pt>
              <c:pt idx="3">
                <c:v>=Dashboard!D8</c:v>
              </c:pt>
              <c:pt idx="4">
                <c:v>=Dashboard!D9</c:v>
              </c:pt>
              <c:pt idx="5">
                <c:v>=Dashboard!D10</c:v>
              </c:pt>
              <c:pt idx="6">
                <c:v>=Dashboard!D11</c:v>
              </c:pt>
              <c:pt idx="7">
                <c:v>=Dashboard!D12</c:v>
              </c:pt>
            </c:strLit>
          </c:cat>
          <c:val>
            <c:numLit>
              <c:formatCode>General</c:formatCode>
              <c:ptCount val="8"/>
              <c:pt idx="0">
                <c:v>NaN</c:v>
              </c:pt>
              <c:pt idx="1">
                <c:v>NaN</c:v>
              </c:pt>
              <c:pt idx="2">
                <c:v>NaN</c:v>
              </c:pt>
              <c:pt idx="3">
                <c:v>NaN</c:v>
              </c:pt>
              <c:pt idx="4">
                <c:v>NaN</c:v>
              </c:pt>
              <c:pt idx="5">
                <c:v>NaN</c:v>
              </c:pt>
              <c:pt idx="6">
                <c:v>NaN</c:v>
              </c:pt>
              <c:pt idx="7">
                <c:v>NaN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20</xdr:row>
      <xdr:rowOff>0</xdr:rowOff>
    </xdr:from>
    <xdr:ext cx="723900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7b55435dd74785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d2b448b8a443b6" /></Relationships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26.670000076293945" hidden="0" customWidth="1"/>
    <x:col min="4" max="4" width="20" hidden="0" customWidth="1"/>
    <x:col min="5" max="5" width="16.670000076293945" hidden="0" customWidth="1"/>
    <x:col min="6" max="6" width="10" hidden="0" customWidth="1"/>
    <x:col min="7" max="7" width="36.66999816894531" hidden="0" customWidth="1"/>
    <x:col min="8" max="8" width="28.889999389648438" hidden="0" customWidth="1"/>
  </x:cols>
  <x:sheetData>
    <x:row r="1" ht="28.5" customHeight="1">
      <x:c r="A1" s="4" t="str">
        <x:v>Cross-Border Ecommerce Payment Matrix</x:v>
      </x:c>
      <x:c r="B1" s="4" t="str"/>
      <x:c r="C1" s="4" t="str"/>
      <x:c r="D1" s="4" t="str"/>
      <x:c r="E1" s="4" t="str"/>
      <x:c r="F1" s="4" t="str"/>
      <x:c r="G1" s="4" t="str"/>
      <x:c r="H1" s="4" t="str"/>
    </x:row>
    <x:row r="2">
      <x:c r="A2" s="49" t="str">
        <x:v>Use case</x:v>
      </x:c>
      <x:c r="B2" s="50" t="str">
        <x:v>Pick next market and payment stack</x:v>
      </x:c>
      <x:c r="C2" s="50" t="str">
        <x:v>Product type</x:v>
      </x:c>
      <x:c r="D2" s="50" t="str">
        <x:v>Small consumer goods</x:v>
      </x:c>
      <x:c r="E2" s="50" t="str">
        <x:v>Updated</x:v>
      </x:c>
      <x:c r="F2" s="50" t="str">
        <x:v>2026-05-22</x:v>
      </x:c>
      <x:c r="G2" s="50" t="str">
        <x:v>Owner</x:v>
      </x:c>
      <x:c r="H2" s="51" t="str">
        <x:v>Fred</x:v>
      </x:c>
    </x:row>
    <x:row r="3">
      <x:c r="A3" s="52"/>
      <x:c r="B3" s="53"/>
      <x:c r="C3" s="53"/>
      <x:c r="D3" s="53"/>
      <x:c r="E3" s="53"/>
      <x:c r="F3" s="53"/>
      <x:c r="G3" s="53"/>
      <x:c r="H3" s="54"/>
    </x:row>
    <x:row r="4">
      <x:c r="A4" s="55" t="str">
        <x:v>KPI</x:v>
      </x:c>
      <x:c r="B4" s="56" t="str">
        <x:v>Value</x:v>
      </x:c>
      <x:c r="C4" s="53"/>
      <x:c r="D4" s="57" t="str">
        <x:v>Top Country/Region</x:v>
      </x:c>
      <x:c r="E4" s="58" t="str">
        <x:v>Priority</x:v>
      </x:c>
      <x:c r="F4" s="58" t="str">
        <x:v>Score</x:v>
      </x:c>
      <x:c r="G4" s="58" t="str">
        <x:v>Recommended First Stack</x:v>
      </x:c>
      <x:c r="H4" s="59" t="str">
        <x:v>Next Action</x:v>
      </x:c>
    </x:row>
    <x:row r="5">
      <x:c r="A5" s="52" t="str">
        <x:v>Countries/regions</x:v>
      </x:c>
      <x:c r="B5" s="53" t="n">
        <x:f>COUNTA('Country Matrix'!A2:A50)</x:f>
        <x:v>14</x:v>
      </x:c>
      <x:c r="C5" s="53"/>
      <x:c r="D5" s="53" t="str">
        <x:f>IFERROR(INDEX('Country Matrix'!$A$2:$A$50,MATCH(1,'Country Matrix'!$N$2:$N$50,0)),"")</x:f>
        <x:v>United States</x:v>
      </x:c>
      <x:c r="E5" s="53" t="str">
        <x:f>IF(D5="","",INDEX('Country Matrix'!$B$2:$B$50,MATCH(D5,'Country Matrix'!$A$2:$A$50,0)))</x:f>
        <x:v>Tier 0 benchmark</x:v>
      </x:c>
      <x:c r="F5" s="53" t="n">
        <x:f>IF(D5="","",INDEX('Country Matrix'!$C$2:$C$50,MATCH(D5,'Country Matrix'!$A$2:$A$50,0)))</x:f>
        <x:v>92</x:v>
      </x:c>
      <x:c r="G5" s="53" t="str">
        <x:f>IF(D5="","",INDEX('Country Matrix'!$I$2:$I$50,MATCH(D5,'Country Matrix'!$A$2:$A$50,0)))</x:f>
        <x:v>Shopify Payments + PayPal + Shop Pay/Apple Pay + BNPL</x:v>
      </x:c>
      <x:c r="H5" s="54" t="str">
        <x:f>IF(D5="","",INDEX('Country Matrix'!$L$2:$L$50,MATCH(D5,'Country Matrix'!$A$2:$A$50,0)))</x:f>
        <x:v>Keep as benchmark and compare CAC/CVR.</x:v>
      </x:c>
    </x:row>
    <x:row r="6">
      <x:c r="A6" s="52" t="str">
        <x:v>Providers/products</x:v>
      </x:c>
      <x:c r="B6" s="53" t="n">
        <x:f>COUNTA('Provider Matrix'!A2:A80)</x:f>
        <x:v>20</x:v>
      </x:c>
      <x:c r="C6" s="53"/>
      <x:c r="D6" s="53" t="str">
        <x:f>IFERROR(INDEX('Country Matrix'!$A$2:$A$50,MATCH(2,'Country Matrix'!$N$2:$N$50,0)),"")</x:f>
        <x:v>Mexico</x:v>
      </x:c>
      <x:c r="E6" s="53" t="str">
        <x:f>IF(D6="","",INDEX('Country Matrix'!$B$2:$B$50,MATCH(D6,'Country Matrix'!$A$2:$A$50,0)))</x:f>
        <x:v>Tier 1 Spanish</x:v>
      </x:c>
      <x:c r="F6" s="53" t="n">
        <x:f>IF(D6="","",INDEX('Country Matrix'!$C$2:$C$50,MATCH(D6,'Country Matrix'!$A$2:$A$50,0)))</x:f>
        <x:v>88</x:v>
      </x:c>
      <x:c r="G6" s="53" t="str">
        <x:f>IF(D6="","",INDEX('Country Matrix'!$I$2:$I$50,MATCH(D6,'Country Matrix'!$A$2:$A$50,0)))</x:f>
        <x:v>Mercado Pago or dLocal/EBANX + cards + OXXO/SPEI</x:v>
      </x:c>
      <x:c r="H6" s="54" t="str">
        <x:f>IF(D6="","",INDEX('Country Matrix'!$L$2:$L$50,MATCH(D6,'Country Matrix'!$A$2:$A$50,0)))</x:f>
        <x:v>Build Spanish landing page and test OXXO/SPEI availability.</x:v>
      </x:c>
    </x:row>
    <x:row r="7">
      <x:c r="A7" s="52" t="str">
        <x:v>Payment methods</x:v>
      </x:c>
      <x:c r="B7" s="53" t="n">
        <x:f>COUNTA('Payment Methods'!A2:A80)</x:f>
        <x:v>20</x:v>
      </x:c>
      <x:c r="C7" s="53"/>
      <x:c r="D7" s="53" t="str">
        <x:f>IFERROR(INDEX('Country Matrix'!$A$2:$A$50,MATCH(3,'Country Matrix'!$N$2:$N$50,0)),"")</x:f>
        <x:v>Brazil</x:v>
      </x:c>
      <x:c r="E7" s="53" t="str">
        <x:f>IF(D7="","",INDEX('Country Matrix'!$B$2:$B$50,MATCH(D7,'Country Matrix'!$A$2:$A$50,0)))</x:f>
        <x:v>Tier 1 LatAm scale</x:v>
      </x:c>
      <x:c r="F7" s="53" t="n">
        <x:f>IF(D7="","",INDEX('Country Matrix'!$C$2:$C$50,MATCH(D7,'Country Matrix'!$A$2:$A$50,0)))</x:f>
        <x:v>86</x:v>
      </x:c>
      <x:c r="G7" s="53" t="str">
        <x:f>IF(D7="","",INDEX('Country Matrix'!$I$2:$I$50,MATCH(D7,'Country Matrix'!$A$2:$A$50,0)))</x:f>
        <x:v>Pix + cards/installments + Boleto</x:v>
      </x:c>
      <x:c r="H7" s="54" t="str">
        <x:f>IF(D7="","",INDEX('Country Matrix'!$L$2:$L$50,MATCH(D7,'Country Matrix'!$A$2:$A$50,0)))</x:f>
        <x:v>Create separate Brazil model rather than folding into Spanish plan.</x:v>
      </x:c>
    </x:row>
    <x:row r="8">
      <x:c r="A8" s="52" t="str">
        <x:v>Tier 1 countries</x:v>
      </x:c>
      <x:c r="B8" s="53" t="n">
        <x:f>COUNTIF('Country Matrix'!B2:B50,"Tier 1 Spanish")+COUNTIF('Country Matrix'!B2:B50,"Tier 1 LatAm scale")+COUNTIF('Country Matrix'!B2:B50,"Tier 1 English")+COUNTIF('Country Matrix'!B2:B50,"Tier 1 English extension")+COUNTIF('Country Matrix'!B2:B50,"Tier 1 Spanish + EU")</x:f>
        <x:v>6</x:v>
      </x:c>
      <x:c r="C8" s="53"/>
      <x:c r="D8" s="53" t="str">
        <x:f>IFERROR(INDEX('Country Matrix'!$A$2:$A$50,MATCH(4,'Country Matrix'!$N$2:$N$50,0)),"")</x:f>
        <x:v>Chile</x:v>
      </x:c>
      <x:c r="E8" s="53" t="str">
        <x:f>IF(D8="","",INDEX('Country Matrix'!$B$2:$B$50,MATCH(D8,'Country Matrix'!$A$2:$A$50,0)))</x:f>
        <x:v>Tier 1 Spanish</x:v>
      </x:c>
      <x:c r="F8" s="53" t="n">
        <x:f>IF(D8="","",INDEX('Country Matrix'!$C$2:$C$50,MATCH(D8,'Country Matrix'!$A$2:$A$50,0)))</x:f>
        <x:v>84</x:v>
      </x:c>
      <x:c r="G8" s="53" t="str">
        <x:f>IF(D8="","",INDEX('Country Matrix'!$I$2:$I$50,MATCH(D8,'Country Matrix'!$A$2:$A$50,0)))</x:f>
        <x:v>Cards/Webpay + Mercado Pago + local transfer</x:v>
      </x:c>
      <x:c r="H8" s="54" t="str">
        <x:f>IF(D8="","",INDEX('Country Matrix'!$L$2:$L$50,MATCH(D8,'Country Matrix'!$A$2:$A$50,0)))</x:f>
        <x:v>Use as low-complexity Spanish test after Mexico.</x:v>
      </x:c>
    </x:row>
    <x:row r="9">
      <x:c r="A9" s="52" t="str">
        <x:v>High-risk countries</x:v>
      </x:c>
      <x:c r="B9" s="53" t="n">
        <x:f>COUNTIF('Country Matrix'!K2:K50,"High")+COUNTIF('Country Matrix'!K2:K50,"Medium-High")</x:f>
        <x:v>7</x:v>
      </x:c>
      <x:c r="C9" s="53"/>
      <x:c r="D9" s="53" t="str">
        <x:f>IFERROR(INDEX('Country Matrix'!$A$2:$A$50,MATCH(5,'Country Matrix'!$N$2:$N$50,0)),"")</x:f>
        <x:v>Canada</x:v>
      </x:c>
      <x:c r="E9" s="53" t="str">
        <x:f>IF(D9="","",INDEX('Country Matrix'!$B$2:$B$50,MATCH(D9,'Country Matrix'!$A$2:$A$50,0)))</x:f>
        <x:v>Tier 1 English extension</x:v>
      </x:c>
      <x:c r="F9" s="53" t="n">
        <x:f>IF(D9="","",INDEX('Country Matrix'!$C$2:$C$50,MATCH(D9,'Country Matrix'!$A$2:$A$50,0)))</x:f>
        <x:v>82</x:v>
      </x:c>
      <x:c r="G9" s="53" t="str">
        <x:f>IF(D9="","",INDEX('Country Matrix'!$I$2:$I$50,MATCH(D9,'Country Matrix'!$A$2:$A$50,0)))</x:f>
        <x:v>Shopify Payments + PayPal + CAD pricing</x:v>
      </x:c>
      <x:c r="H9" s="54" t="str">
        <x:f>IF(D9="","",INDEX('Country Matrix'!$L$2:$L$50,MATCH(D9,'Country Matrix'!$A$2:$A$50,0)))</x:f>
        <x:v>Copy US winners into CAD offer pages.</x:v>
      </x:c>
    </x:row>
    <x:row r="10">
      <x:c r="A10" s="52"/>
      <x:c r="B10" s="53"/>
      <x:c r="C10" s="53"/>
      <x:c r="D10" s="53" t="str">
        <x:f>IFERROR(INDEX('Country Matrix'!$A$2:$A$50,MATCH(6,'Country Matrix'!$N$2:$N$50,0)),"")</x:f>
        <x:v>United Kingdom</x:v>
      </x:c>
      <x:c r="E10" s="53" t="str">
        <x:f>IF(D10="","",INDEX('Country Matrix'!$B$2:$B$50,MATCH(D10,'Country Matrix'!$A$2:$A$50,0)))</x:f>
        <x:v>Tier 1 English</x:v>
      </x:c>
      <x:c r="F10" s="53" t="n">
        <x:f>IF(D10="","",INDEX('Country Matrix'!$C$2:$C$50,MATCH(D10,'Country Matrix'!$A$2:$A$50,0)))</x:f>
        <x:v>80</x:v>
      </x:c>
      <x:c r="G10" s="53" t="str">
        <x:f>IF(D10="","",INDEX('Country Matrix'!$I$2:$I$50,MATCH(D10,'Country Matrix'!$A$2:$A$50,0)))</x:f>
        <x:v>Stripe/Shopify + PayPal + Klarna/Clearpay; Revolut as FX/merchant add-on</x:v>
      </x:c>
      <x:c r="H10" s="54" t="str">
        <x:f>IF(D10="","",INDEX('Country Matrix'!$L$2:$L$50,MATCH(D10,'Country Matrix'!$A$2:$A$50,0)))</x:f>
        <x:v>Test after US; evaluate Revolut Business if UK entity/settlement matters.</x:v>
      </x:c>
    </x:row>
    <x:row r="11">
      <x:c r="A11" s="52"/>
      <x:c r="B11" s="53"/>
      <x:c r="C11" s="53"/>
      <x:c r="D11" s="53" t="str">
        <x:f>IFERROR(INDEX('Country Matrix'!$A$2:$A$50,MATCH(7,'Country Matrix'!$N$2:$N$50,0)),"")</x:f>
        <x:v>Australia / New Zealand</x:v>
      </x:c>
      <x:c r="E11" s="53" t="str">
        <x:f>IF(D11="","",INDEX('Country Matrix'!$B$2:$B$50,MATCH(D11,'Country Matrix'!$A$2:$A$50,0)))</x:f>
        <x:v>Tier 2 English</x:v>
      </x:c>
      <x:c r="F11" s="53" t="n">
        <x:f>IF(D11="","",INDEX('Country Matrix'!$C$2:$C$50,MATCH(D11,'Country Matrix'!$A$2:$A$50,0)))</x:f>
        <x:v>78</x:v>
      </x:c>
      <x:c r="G11" s="53" t="str">
        <x:f>IF(D11="","",INDEX('Country Matrix'!$I$2:$I$50,MATCH(D11,'Country Matrix'!$A$2:$A$50,0)))</x:f>
        <x:v>Shopify/Stripe + PayPal + Afterpay; evaluate Revolut for AU entity</x:v>
      </x:c>
      <x:c r="H11" s="54" t="str">
        <x:f>IF(D11="","",INDEX('Country Matrix'!$L$2:$L$50,MATCH(D11,'Country Matrix'!$A$2:$A$50,0)))</x:f>
        <x:v>Use only for light, high-margin products.</x:v>
      </x:c>
    </x:row>
    <x:row r="12">
      <x:c r="A12" s="52"/>
      <x:c r="B12" s="53"/>
      <x:c r="C12" s="53"/>
      <x:c r="D12" s="53" t="str">
        <x:f>IFERROR(INDEX('Country Matrix'!$A$2:$A$50,MATCH(8,'Country Matrix'!$N$2:$N$50,0)),"")</x:f>
        <x:v>Spain / EU</x:v>
      </x:c>
      <x:c r="E12" s="53" t="str">
        <x:f>IF(D12="","",INDEX('Country Matrix'!$B$2:$B$50,MATCH(D12,'Country Matrix'!$A$2:$A$50,0)))</x:f>
        <x:v>Tier 1 Spanish + EU</x:v>
      </x:c>
      <x:c r="F12" s="53" t="n">
        <x:f>IF(D12="","",INDEX('Country Matrix'!$C$2:$C$50,MATCH(D12,'Country Matrix'!$A$2:$A$50,0)))</x:f>
        <x:v>78</x:v>
      </x:c>
      <x:c r="G12" s="53" t="str">
        <x:f>IF(D12="","",INDEX('Country Matrix'!$I$2:$I$50,MATCH(D12,'Country Matrix'!$A$2:$A$50,0)))</x:f>
        <x:v>Stripe/Shopify + PayPal + Bizum/SEPA/Klarna; Revolut as EU FX/checkout add-on</x:v>
      </x:c>
      <x:c r="H12" s="54" t="str">
        <x:f>IF(D12="","",INDEX('Country Matrix'!$L$2:$L$50,MATCH(D12,'Country Matrix'!$A$2:$A$50,0)))</x:f>
        <x:v>Prepare EU compliance checklist before paid ads.</x:v>
      </x:c>
    </x:row>
    <x:row r="13">
      <x:c r="A13" s="52"/>
      <x:c r="B13" s="53"/>
      <x:c r="C13" s="53"/>
      <x:c r="D13" s="53"/>
      <x:c r="E13" s="53"/>
      <x:c r="F13" s="53"/>
      <x:c r="G13" s="53"/>
      <x:c r="H13" s="54"/>
    </x:row>
    <x:row r="14">
      <x:c r="A14" s="60" t="str">
        <x:v>Working Rule</x:v>
      </x:c>
      <x:c r="B14" s="61" t="str"/>
      <x:c r="C14" s="61" t="str"/>
      <x:c r="D14" s="61" t="str"/>
      <x:c r="E14" s="61" t="str"/>
      <x:c r="F14" s="61" t="str"/>
      <x:c r="G14" s="61" t="str"/>
      <x:c r="H14" s="62" t="str"/>
    </x:row>
    <x:row r="15">
      <x:c r="A15" s="52" t="str">
        <x:v>1</x:v>
      </x:c>
      <x:c r="B15" s="53" t="str">
        <x:v>Buyer checkout</x:v>
      </x:c>
      <x:c r="C15" s="53" t="str">
        <x:v>Cards/wallets/local methods at purchase time.</x:v>
      </x:c>
      <x:c r="D15" s="53" t="str">
        <x:v>Example</x:v>
      </x:c>
      <x:c r="E15" s="53" t="str">
        <x:v>Stripe, Shopify Payments, Mercado Pago, dLocal, EBANX</x:v>
      </x:c>
      <x:c r="F15" s="53" t="str"/>
      <x:c r="G15" s="53" t="str"/>
      <x:c r="H15" s="54" t="str"/>
    </x:row>
    <x:row r="16">
      <x:c r="A16" s="52" t="str">
        <x:v>2</x:v>
      </x:c>
      <x:c r="B16" s="53" t="str">
        <x:v>Local rails</x:v>
      </x:c>
      <x:c r="C16" s="53" t="str">
        <x:v>OXXO, SPEI, Pix, PSE, Konbini, UPI, SEPA, Bizum.</x:v>
      </x:c>
      <x:c r="D16" s="53" t="str">
        <x:v>Rule</x:v>
      </x:c>
      <x:c r="E16" s="53" t="str">
        <x:v>A country is not ready until its must-have local rail is covered.</x:v>
      </x:c>
      <x:c r="F16" s="53" t="str"/>
      <x:c r="G16" s="53" t="str"/>
      <x:c r="H16" s="54" t="str"/>
    </x:row>
    <x:row r="17">
      <x:c r="A17" s="52" t="str">
        <x:v>3</x:v>
      </x:c>
      <x:c r="B17" s="53" t="str">
        <x:v>Seller settlement</x:v>
      </x:c>
      <x:c r="C17" s="53" t="str">
        <x:v>Marketplace payouts, multi-currency accounts, FX, supplier payments.</x:v>
      </x:c>
      <x:c r="D17" s="53" t="str">
        <x:v>Example</x:v>
      </x:c>
      <x:c r="E17" s="53" t="str">
        <x:v>Airwallex, Revolut, Payoneer, WorldFirst, PingPong, LianLian, Wise</x:v>
      </x:c>
      <x:c r="F17" s="53" t="str"/>
      <x:c r="G17" s="53" t="str"/>
      <x:c r="H17" s="54" t="str"/>
    </x:row>
    <x:row r="18">
      <x:c r="A18" s="63" t="str">
        <x:v>4</x:v>
      </x:c>
      <x:c r="B18" s="64" t="str">
        <x:v>Fred default</x:v>
      </x:c>
      <x:c r="C18" s="64" t="str">
        <x:v>US benchmark, then Mexico/Chile; Brazil as its own model; Spain/EU only after compliance.</x:v>
      </x:c>
      <x:c r="D18" s="64" t="str"/>
      <x:c r="E18" s="64" t="str"/>
      <x:c r="F18" s="64" t="str"/>
      <x:c r="G18" s="64" t="str"/>
      <x:c r="H18" s="65" t="str"/>
    </x:row>
  </x:sheetData>
  <x:mergeCells>
    <x:mergeCell ref="A1:H1"/>
    <x:mergeCell ref="A14:H14"/>
  </x:mergeCells>
  <x:pageMargins left="0.7" right="0.7" top="0.75" bottom="0.75" header="0.3" footer="0.3"/>
  <x:drawing xmlns:r="http://schemas.openxmlformats.org/officeDocument/2006/relationships" r:id="R10d2b448b8a443b6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10" hidden="0" customWidth="1"/>
    <x:col min="4" max="4" width="10" hidden="0" customWidth="1"/>
    <x:col min="5" max="5" width="32.220001220703125" hidden="0" customWidth="1"/>
    <x:col min="6" max="6" width="32.220001220703125" hidden="0" customWidth="1"/>
    <x:col min="7" max="7" width="32.220001220703125" hidden="0" customWidth="1"/>
    <x:col min="8" max="8" width="32.220001220703125" hidden="0" customWidth="1"/>
    <x:col min="9" max="9" width="32.220001220703125" hidden="0" customWidth="1"/>
    <x:col min="10" max="10" width="32.220001220703125" hidden="0" customWidth="1"/>
    <x:col min="11" max="11" width="13.329999923706055" hidden="0" customWidth="1"/>
    <x:col min="12" max="12" width="31.110000610351562" hidden="0" customWidth="1"/>
    <x:col min="13" max="13" width="14.4399995803833" hidden="0" customWidth="1"/>
    <x:col min="14" max="14" width="7.78000020980835" hidden="0" customWidth="1"/>
  </x:cols>
  <x:sheetData>
    <x:row r="1" ht="28.5" customHeight="1">
      <x:c r="A1" s="17" t="str">
        <x:v>Country / Region</x:v>
      </x:c>
      <x:c r="B1" s="22" t="str">
        <x:v>Priority</x:v>
      </x:c>
      <x:c r="C1" s="22" t="str">
        <x:v>Score</x:v>
      </x:c>
      <x:c r="D1" s="22" t="str">
        <x:v>Language</x:v>
      </x:c>
      <x:c r="E1" s="22" t="str">
        <x:v>Small-Goods Opportunity</x:v>
      </x:c>
      <x:c r="F1" s="22" t="str">
        <x:v>Buyer Must-Have Payment Methods</x:v>
      </x:c>
      <x:c r="G1" s="22" t="str">
        <x:v>Checkout Companies / Products</x:v>
      </x:c>
      <x:c r="H1" s="22" t="str">
        <x:v>Seller Settlement / FX</x:v>
      </x:c>
      <x:c r="I1" s="22" t="str">
        <x:v>Recommended First Stack</x:v>
      </x:c>
      <x:c r="J1" s="22" t="str">
        <x:v>Key Risks</x:v>
      </x:c>
      <x:c r="K1" s="22" t="str">
        <x:v>Risk Level</x:v>
      </x:c>
      <x:c r="L1" s="22" t="str">
        <x:v>Next Validation Action</x:v>
      </x:c>
      <x:c r="M1" s="22" t="str">
        <x:v>Source IDs</x:v>
      </x:c>
      <x:c r="N1" s="18" t="str">
        <x:v>Rank</x:v>
      </x:c>
    </x:row>
    <x:row r="2">
      <x:c r="A2" s="49" t="str">
        <x:v>United States</x:v>
      </x:c>
      <x:c r="B2" s="50" t="str">
        <x:v>Tier 0 benchmark</x:v>
      </x:c>
      <x:c r="C2" s="66" t="n">
        <x:v>92</x:v>
      </x:c>
      <x:c r="D2" s="50" t="str">
        <x:v>English</x:v>
      </x:c>
      <x:c r="E2" s="50" t="str">
        <x:v>Current baseline market; mature ads, Shopify, wallets, and BNPL.</x:v>
      </x:c>
      <x:c r="F2" s="50" t="str">
        <x:v>Cards, Apple Pay, Google Pay, PayPal, Shop Pay, BNPL, ACH</x:v>
      </x:c>
      <x:c r="G2" s="50" t="str">
        <x:v>Shopify Payments; Stripe; PayPal/Braintree; Adyen; Affirm/Klarna</x:v>
      </x:c>
      <x:c r="H2" s="50" t="str">
        <x:v>Airwallex; Wise Business; Payoneer</x:v>
      </x:c>
      <x:c r="I2" s="50" t="str">
        <x:v>Shopify Payments + PayPal + Shop Pay/Apple Pay + BNPL</x:v>
      </x:c>
      <x:c r="J2" s="50" t="str">
        <x:v>Ad costs, returns, sales tax, import policy changes.</x:v>
      </x:c>
      <x:c r="K2" s="50" t="str">
        <x:v>Medium</x:v>
      </x:c>
      <x:c r="L2" s="50" t="str">
        <x:v>Keep as benchmark and compare CAC/CVR.</x:v>
      </x:c>
      <x:c r="M2" s="50" t="str">
        <x:v>S01; S02; S03; S04</x:v>
      </x:c>
      <x:c r="N2" s="51" t="n">
        <x:f>COUNTIF($C$2:$C$15,"&gt;"&amp;C2)+COUNTIF($C$2:C2,C2)</x:f>
        <x:v>1</x:v>
      </x:c>
    </x:row>
    <x:row r="3">
      <x:c r="A3" s="52" t="str">
        <x:v>Mexico</x:v>
      </x:c>
      <x:c r="B3" s="53" t="str">
        <x:v>Tier 1 Spanish</x:v>
      </x:c>
      <x:c r="C3" s="67" t="n">
        <x:v>88</x:v>
      </x:c>
      <x:c r="D3" s="53" t="str">
        <x:v>Spanish</x:v>
      </x:c>
      <x:c r="E3" s="53" t="str">
        <x:v>Large Spanish-speaking test market close to the US; local rails matter.</x:v>
      </x:c>
      <x:c r="F3" s="53" t="str">
        <x:v>Cards/debit, OXXO, SPEI, Mercado Pago, BNPL</x:v>
      </x:c>
      <x:c r="G3" s="53" t="str">
        <x:v>dLocal; EBANX; Mercado Pago; Conekta; Stripe Mexico; PayPal</x:v>
      </x:c>
      <x:c r="H3" s="53" t="str">
        <x:v>Airwallex; Payoneer; WorldFirst; Wise Business</x:v>
      </x:c>
      <x:c r="I3" s="53" t="str">
        <x:v>Mercado Pago or dLocal/EBANX + cards + OXXO/SPEI</x:v>
      </x:c>
      <x:c r="J3" s="53" t="str">
        <x:v>Voucher delays, refunds, tax/import clarity, localized support.</x:v>
      </x:c>
      <x:c r="K3" s="53" t="str">
        <x:v>Medium</x:v>
      </x:c>
      <x:c r="L3" s="53" t="str">
        <x:v>Build Spanish landing page and test OXXO/SPEI availability.</x:v>
      </x:c>
      <x:c r="M3" s="53" t="str">
        <x:v>S05; S06; S07; S09; S18</x:v>
      </x:c>
      <x:c r="N3" s="54" t="n">
        <x:f>COUNTIF($C$2:$C$15,"&gt;"&amp;C3)+COUNTIF($C$2:C3,C3)</x:f>
        <x:v>2</x:v>
      </x:c>
    </x:row>
    <x:row r="4">
      <x:c r="A4" s="52" t="str">
        <x:v>Brazil</x:v>
      </x:c>
      <x:c r="B4" s="53" t="str">
        <x:v>Tier 1 LatAm scale</x:v>
      </x:c>
      <x:c r="C4" s="67" t="n">
        <x:v>86</x:v>
      </x:c>
      <x:c r="D4" s="53" t="str">
        <x:v>Portuguese</x:v>
      </x:c>
      <x:c r="E4" s="53" t="str">
        <x:v>Not Spanish, but too large to ignore; Pix is a conversion requirement.</x:v>
      </x:c>
      <x:c r="F4" s="53" t="str">
        <x:v>Pix, cards/installments, Boleto, Mercado Pago</x:v>
      </x:c>
      <x:c r="G4" s="53" t="str">
        <x:v>EBANX; dLocal; Mercado Pago; Adyen; Stripe Brazil</x:v>
      </x:c>
      <x:c r="H4" s="53" t="str">
        <x:v>Airwallex; Payoneer; WorldFirst; Wise Business</x:v>
      </x:c>
      <x:c r="I4" s="53" t="str">
        <x:v>Pix + cards/installments + Boleto</x:v>
      </x:c>
      <x:c r="J4" s="53" t="str">
        <x:v>Portuguese localization, CPF, import tax, fraud, logistics.</x:v>
      </x:c>
      <x:c r="K4" s="53" t="str">
        <x:v>High</x:v>
      </x:c>
      <x:c r="L4" s="53" t="str">
        <x:v>Create separate Brazil model rather than folding into Spanish plan.</x:v>
      </x:c>
      <x:c r="M4" s="53" t="str">
        <x:v>S05; S06; S07; S22</x:v>
      </x:c>
      <x:c r="N4" s="54" t="n">
        <x:f>COUNTIF($C$2:$C$15,"&gt;"&amp;C4)+COUNTIF($C$2:C4,C4)</x:f>
        <x:v>3</x:v>
      </x:c>
    </x:row>
    <x:row r="5">
      <x:c r="A5" s="52" t="str">
        <x:v>Chile</x:v>
      </x:c>
      <x:c r="B5" s="53" t="str">
        <x:v>Tier 1 Spanish</x:v>
      </x:c>
      <x:c r="C5" s="67" t="n">
        <x:v>84</x:v>
      </x:c>
      <x:c r="D5" s="53" t="str">
        <x:v>Spanish</x:v>
      </x:c>
      <x:c r="E5" s="53" t="str">
        <x:v>Higher purchasing power and clearer ecommerce behavior than many LatAm markets.</x:v>
      </x:c>
      <x:c r="F5" s="53" t="str">
        <x:v>Cards/debit, Webpay/Transbank, Mercado Pago, bank transfer</x:v>
      </x:c>
      <x:c r="G5" s="53" t="str">
        <x:v>Mercado Pago; dLocal; EBANX; PayPal; local PSPs</x:v>
      </x:c>
      <x:c r="H5" s="53" t="str">
        <x:v>Airwallex; Payoneer; Wise Business</x:v>
      </x:c>
      <x:c r="I5" s="53" t="str">
        <x:v>Cards/Webpay + Mercado Pago + local transfer</x:v>
      </x:c>
      <x:c r="J5" s="53" t="str">
        <x:v>Smaller market, cross-border taxes, local delivery expectations.</x:v>
      </x:c>
      <x:c r="K5" s="53" t="str">
        <x:v>Medium</x:v>
      </x:c>
      <x:c r="L5" s="53" t="str">
        <x:v>Use as low-complexity Spanish test after Mexico.</x:v>
      </x:c>
      <x:c r="M5" s="53" t="str">
        <x:v>S05; S06; S07; S19</x:v>
      </x:c>
      <x:c r="N5" s="54" t="n">
        <x:f>COUNTIF($C$2:$C$15,"&gt;"&amp;C5)+COUNTIF($C$2:C5,C5)</x:f>
        <x:v>4</x:v>
      </x:c>
    </x:row>
    <x:row r="6">
      <x:c r="A6" s="52" t="str">
        <x:v>Canada</x:v>
      </x:c>
      <x:c r="B6" s="53" t="str">
        <x:v>Tier 1 English extension</x:v>
      </x:c>
      <x:c r="C6" s="67" t="n">
        <x:v>82</x:v>
      </x:c>
      <x:c r="D6" s="53" t="str">
        <x:v>English/French</x:v>
      </x:c>
      <x:c r="E6" s="53" t="str">
        <x:v>Natural US expansion with good AOV and familiar checkout behavior.</x:v>
      </x:c>
      <x:c r="F6" s="53" t="str">
        <x:v>Cards, PayPal, Interac, wallets, BNPL</x:v>
      </x:c>
      <x:c r="G6" s="53" t="str">
        <x:v>Shopify Payments; Stripe; PayPal; Adyen; Klarna/Affirm</x:v>
      </x:c>
      <x:c r="H6" s="53" t="str">
        <x:v>Airwallex; Wise Business; Payoneer</x:v>
      </x:c>
      <x:c r="I6" s="53" t="str">
        <x:v>Shopify Payments + PayPal + CAD pricing</x:v>
      </x:c>
      <x:c r="J6" s="53" t="str">
        <x:v>Quebec French, GST/HST/PST, logistics cost.</x:v>
      </x:c>
      <x:c r="K6" s="53" t="str">
        <x:v>Low-Medium</x:v>
      </x:c>
      <x:c r="L6" s="53" t="str">
        <x:v>Copy US winners into CAD offer pages.</x:v>
      </x:c>
      <x:c r="M6" s="53" t="str">
        <x:v>S01; S02; S03; S04</x:v>
      </x:c>
      <x:c r="N6" s="54" t="n">
        <x:f>COUNTIF($C$2:$C$15,"&gt;"&amp;C6)+COUNTIF($C$2:C6,C6)</x:f>
        <x:v>5</x:v>
      </x:c>
    </x:row>
    <x:row r="7">
      <x:c r="A7" s="52" t="str">
        <x:v>United Kingdom</x:v>
      </x:c>
      <x:c r="B7" s="53" t="str">
        <x:v>Tier 1 English</x:v>
      </x:c>
      <x:c r="C7" s="67" t="n">
        <x:v>80</x:v>
      </x:c>
      <x:c r="D7" s="53" t="str">
        <x:v>English</x:v>
      </x:c>
      <x:c r="E7" s="53" t="str">
        <x:v>High ecommerce maturity and strong DTC habit.</x:v>
      </x:c>
      <x:c r="F7" s="53" t="str">
        <x:v>Cards, PayPal, Apple Pay, Google Pay, Revolut Pay, Klarna/Clearpay, Open Banking</x:v>
      </x:c>
      <x:c r="G7" s="53" t="str">
        <x:v>Stripe; Shopify Payments; PayPal; Adyen; Checkout.com; Klarna; Revolut Business</x:v>
      </x:c>
      <x:c r="H7" s="53" t="str">
        <x:v>Airwallex; Revolut Business; Wise Business; Payoneer</x:v>
      </x:c>
      <x:c r="I7" s="53" t="str">
        <x:v>Stripe/Shopify + PayPal + Klarna/Clearpay; Revolut as FX/merchant add-on</x:v>
      </x:c>
      <x:c r="J7" s="53" t="str">
        <x:v>VAT, product safety, return expectations.</x:v>
      </x:c>
      <x:c r="K7" s="53" t="str">
        <x:v>Medium</x:v>
      </x:c>
      <x:c r="L7" s="53" t="str">
        <x:v>Test after US; evaluate Revolut Business if UK entity/settlement matters.</x:v>
      </x:c>
      <x:c r="M7" s="53" t="str">
        <x:v>S01; S02; S03; S04; S31; S32; S33; S34</x:v>
      </x:c>
      <x:c r="N7" s="54" t="n">
        <x:f>COUNTIF($C$2:$C$15,"&gt;"&amp;C7)+COUNTIF($C$2:C7,C7)</x:f>
        <x:v>6</x:v>
      </x:c>
    </x:row>
    <x:row r="8">
      <x:c r="A8" s="52" t="str">
        <x:v>Australia / New Zealand</x:v>
      </x:c>
      <x:c r="B8" s="53" t="str">
        <x:v>Tier 2 English</x:v>
      </x:c>
      <x:c r="C8" s="67" t="n">
        <x:v>78</x:v>
      </x:c>
      <x:c r="D8" s="53" t="str">
        <x:v>English</x:v>
      </x:c>
      <x:c r="E8" s="53" t="str">
        <x:v>Good purchasing power; lightweight goods can absorb distance better.</x:v>
      </x:c>
      <x:c r="F8" s="53" t="str">
        <x:v>Cards, PayPal, Apple Pay, Google Pay, Afterpay, PayTo/PayID</x:v>
      </x:c>
      <x:c r="G8" s="53" t="str">
        <x:v>Stripe; Shopify Payments; PayPal; Adyen; Afterpay; Revolut Business (AU)</x:v>
      </x:c>
      <x:c r="H8" s="53" t="str">
        <x:v>Airwallex; Revolut Business; Wise Business; Payoneer</x:v>
      </x:c>
      <x:c r="I8" s="53" t="str">
        <x:v>Shopify/Stripe + PayPal + Afterpay; evaluate Revolut for AU entity</x:v>
      </x:c>
      <x:c r="J8" s="53" t="str">
        <x:v>Freight distance, GST, returns.</x:v>
      </x:c>
      <x:c r="K8" s="53" t="str">
        <x:v>Medium</x:v>
      </x:c>
      <x:c r="L8" s="53" t="str">
        <x:v>Use only for light, high-margin products.</x:v>
      </x:c>
      <x:c r="M8" s="53" t="str">
        <x:v>S01; S02; S03; S21; S31; S32; S34</x:v>
      </x:c>
      <x:c r="N8" s="54" t="n">
        <x:f>COUNTIF($C$2:$C$15,"&gt;"&amp;C8)+COUNTIF($C$2:C8,C8)</x:f>
        <x:v>7</x:v>
      </x:c>
    </x:row>
    <x:row r="9">
      <x:c r="A9" s="52" t="str">
        <x:v>Spain / EU</x:v>
      </x:c>
      <x:c r="B9" s="53" t="str">
        <x:v>Tier 1 Spanish + EU</x:v>
      </x:c>
      <x:c r="C9" s="67" t="n">
        <x:v>78</x:v>
      </x:c>
      <x:c r="D9" s="53" t="str">
        <x:v>Spanish</x:v>
      </x:c>
      <x:c r="E9" s="53" t="str">
        <x:v>Spanish-language market with EU purchasing power; compliance is heavier.</x:v>
      </x:c>
      <x:c r="F9" s="53" t="str">
        <x:v>Cards/debit, PayPal, Apple Pay, Google Pay, Revolut Pay, Bizum, SEPA, Klarna</x:v>
      </x:c>
      <x:c r="G9" s="53" t="str">
        <x:v>Stripe; Shopify Payments; PayPal; Adyen; Klarna; Revolut Business; local PSPs</x:v>
      </x:c>
      <x:c r="H9" s="53" t="str">
        <x:v>Airwallex; Revolut Business; Wise Business; Payoneer</x:v>
      </x:c>
      <x:c r="I9" s="53" t="str">
        <x:v>Stripe/Shopify + PayPal + Bizum/SEPA/Klarna; Revolut as EU FX/checkout add-on</x:v>
      </x:c>
      <x:c r="J9" s="53" t="str">
        <x:v>VAT/IOSS, GPSR, EU returns, Spanish customer support.</x:v>
      </x:c>
      <x:c r="K9" s="53" t="str">
        <x:v>Medium-High</x:v>
      </x:c>
      <x:c r="L9" s="53" t="str">
        <x:v>Prepare EU compliance checklist before paid ads.</x:v>
      </x:c>
      <x:c r="M9" s="53" t="str">
        <x:v>S01; S02; S03; S04; S26; S27; S31; S32; S33; S34</x:v>
      </x:c>
      <x:c r="N9" s="54" t="n">
        <x:f>COUNTIF($C$2:$C$15,"&gt;"&amp;C9)+COUNTIF($C$2:C9,C9)</x:f>
        <x:v>8</x:v>
      </x:c>
    </x:row>
    <x:row r="10">
      <x:c r="A10" s="52" t="str">
        <x:v>Colombia</x:v>
      </x:c>
      <x:c r="B10" s="53" t="str">
        <x:v>Tier 2 Spanish</x:v>
      </x:c>
      <x:c r="C10" s="67" t="n">
        <x:v>76</x:v>
      </x:c>
      <x:c r="D10" s="53" t="str">
        <x:v>Spanish</x:v>
      </x:c>
      <x:c r="E10" s="53" t="str">
        <x:v>Strong local transfer/wallet behavior; useful LatAm expansion test.</x:v>
      </x:c>
      <x:c r="F10" s="53" t="str">
        <x:v>PSE, cards/debit, Nequi, Daviplata, Mercado Pago, cash vouchers</x:v>
      </x:c>
      <x:c r="G10" s="53" t="str">
        <x:v>dLocal; EBANX; PayU; Mercado Pago</x:v>
      </x:c>
      <x:c r="H10" s="53" t="str">
        <x:v>Airwallex; Payoneer; Wise Business</x:v>
      </x:c>
      <x:c r="I10" s="53" t="str">
        <x:v>PSE + cards + wallet/cash options</x:v>
      </x:c>
      <x:c r="J10" s="53" t="str">
        <x:v>Logistics, refunds, cash/COD risk, local trust.</x:v>
      </x:c>
      <x:c r="K10" s="53" t="str">
        <x:v>Medium-High</x:v>
      </x:c>
      <x:c r="L10" s="53" t="str">
        <x:v>Test after Mexico/Chile with PSE-enabled checkout.</x:v>
      </x:c>
      <x:c r="M10" s="53" t="str">
        <x:v>S05; S06; S07; S10; S20</x:v>
      </x:c>
      <x:c r="N10" s="54" t="n">
        <x:f>COUNTIF($C$2:$C$15,"&gt;"&amp;C10)+COUNTIF($C$2:C10,C10)</x:f>
        <x:v>9</x:v>
      </x:c>
    </x:row>
    <x:row r="11">
      <x:c r="A11" s="52" t="str">
        <x:v>Germany / DACH</x:v>
      </x:c>
      <x:c r="B11" s="53" t="str">
        <x:v>Tier 2 EU</x:v>
      </x:c>
      <x:c r="C11" s="67" t="n">
        <x:v>74</x:v>
      </x:c>
      <x:c r="D11" s="53" t="str">
        <x:v>German</x:v>
      </x:c>
      <x:c r="E11" s="53" t="str">
        <x:v>Large EU ecommerce market with distinctive trust and payment preferences.</x:v>
      </x:c>
      <x:c r="F11" s="53" t="str">
        <x:v>PayPal, invoice/BNPL, SEPA, cards, Klarna, Revolut Pay</x:v>
      </x:c>
      <x:c r="G11" s="53" t="str">
        <x:v>Adyen; Stripe; PayPal; Klarna; Shopify Payments; Revolut Business</x:v>
      </x:c>
      <x:c r="H11" s="53" t="str">
        <x:v>Airwallex; Revolut Business; Wise Business; Payoneer</x:v>
      </x:c>
      <x:c r="I11" s="53" t="str">
        <x:v>PayPal + cards + SEPA/Klarna; Revolut for EU account/payment add-on</x:v>
      </x:c>
      <x:c r="J11" s="53" t="str">
        <x:v>German language, return expectations, EU compliance.</x:v>
      </x:c>
      <x:c r="K11" s="53" t="str">
        <x:v>Medium-High</x:v>
      </x:c>
      <x:c r="L11" s="53" t="str">
        <x:v>Enter after EU compliance and support are ready.</x:v>
      </x:c>
      <x:c r="M11" s="53" t="str">
        <x:v>S01; S02; S03; S04; S26; S27; S31; S32; S34</x:v>
      </x:c>
      <x:c r="N11" s="54" t="n">
        <x:f>COUNTIF($C$2:$C$15,"&gt;"&amp;C11)+COUNTIF($C$2:C11,C11)</x:f>
        <x:v>11</x:v>
      </x:c>
    </x:row>
    <x:row r="12">
      <x:c r="A12" s="52" t="str">
        <x:v>Japan</x:v>
      </x:c>
      <x:c r="B12" s="53" t="str">
        <x:v>Tier 2 APAC</x:v>
      </x:c>
      <x:c r="C12" s="67" t="n">
        <x:v>70</x:v>
      </x:c>
      <x:c r="D12" s="53" t="str">
        <x:v>Japanese</x:v>
      </x:c>
      <x:c r="E12" s="53" t="str">
        <x:v>High quality expectations and useful AOV; localization is the barrier.</x:v>
      </x:c>
      <x:c r="F12" s="53" t="str">
        <x:v>Cards, Konbini, PayPay, bank transfer, carrier billing</x:v>
      </x:c>
      <x:c r="G12" s="53" t="str">
        <x:v>Stripe; Shopify Payments; KOMOJU; PayPal; Adyen</x:v>
      </x:c>
      <x:c r="H12" s="53" t="str">
        <x:v>Airwallex; Wise Business; Payoneer</x:v>
      </x:c>
      <x:c r="I12" s="53" t="str">
        <x:v>Cards + PayPay + Konbini</x:v>
      </x:c>
      <x:c r="J12" s="53" t="str">
        <x:v>Japanese support, SCTA display, returns, strict quality perception.</x:v>
      </x:c>
      <x:c r="K12" s="53" t="str">
        <x:v>High</x:v>
      </x:c>
      <x:c r="L12" s="53" t="str">
        <x:v>Only test if product has Japan-specific appeal.</x:v>
      </x:c>
      <x:c r="M12" s="53" t="str">
        <x:v>S01; S02; S03; S11</x:v>
      </x:c>
      <x:c r="N12" s="54" t="n">
        <x:f>COUNTIF($C$2:$C$15,"&gt;"&amp;C12)+COUNTIF($C$2:C12,C12)</x:f>
        <x:v>12</x:v>
      </x:c>
    </x:row>
    <x:row r="13">
      <x:c r="A13" s="52" t="str">
        <x:v>Argentina</x:v>
      </x:c>
      <x:c r="B13" s="53" t="str">
        <x:v>Tier 3 Spanish</x:v>
      </x:c>
      <x:c r="C13" s="67" t="n">
        <x:v>62</x:v>
      </x:c>
      <x:c r="D13" s="53" t="str">
        <x:v>Spanish</x:v>
      </x:c>
      <x:c r="E13" s="53" t="str">
        <x:v>Real demand, but macro and FX make independent DTC hard.</x:v>
      </x:c>
      <x:c r="F13" s="53" t="str">
        <x:v>Mercado Pago, cards/cuotas, bank transfer, Rapipago/Pago Facil</x:v>
      </x:c>
      <x:c r="G13" s="53" t="str">
        <x:v>Mercado Pago; dLocal; EBANX; PayU</x:v>
      </x:c>
      <x:c r="H13" s="53" t="str">
        <x:v>Airwallex; Payoneer; Wise Business</x:v>
      </x:c>
      <x:c r="I13" s="53" t="str">
        <x:v>Mercado Pago first; preferably marketplace/local partner</x:v>
      </x:c>
      <x:c r="J13" s="53" t="str">
        <x:v>FX, inflation, import restrictions, frequent repricing.</x:v>
      </x:c>
      <x:c r="K13" s="53" t="str">
        <x:v>High</x:v>
      </x:c>
      <x:c r="L13" s="53" t="str">
        <x:v>Use Mercado Pago or marketplace before standalone DTC.</x:v>
      </x:c>
      <x:c r="M13" s="53" t="str">
        <x:v>S05; S06; S07; S10; S21</x:v>
      </x:c>
      <x:c r="N13" s="54" t="n">
        <x:f>COUNTIF($C$2:$C$15,"&gt;"&amp;C13)+COUNTIF($C$2:C13,C13)</x:f>
        <x:v>13</x:v>
      </x:c>
    </x:row>
    <x:row r="14">
      <x:c r="A14" s="52" t="str">
        <x:v>India</x:v>
      </x:c>
      <x:c r="B14" s="53" t="str">
        <x:v>Tier 3 local-partner</x:v>
      </x:c>
      <x:c r="C14" s="67" t="n">
        <x:v>58</x:v>
      </x:c>
      <x:c r="D14" s="53" t="str">
        <x:v>English/Hindi/local</x:v>
      </x:c>
      <x:c r="E14" s="53" t="str">
        <x:v>Huge market, but not a simple imported small-goods DTC start.</x:v>
      </x:c>
      <x:c r="F14" s="53" t="str">
        <x:v>UPI, cards, netbanking, wallets, COD</x:v>
      </x:c>
      <x:c r="G14" s="53" t="str">
        <x:v>Razorpay; PayU India; Cashfree; PhonePe; Stripe India</x:v>
      </x:c>
      <x:c r="H14" s="53" t="str">
        <x:v>Wise Business; Airwallex; Payoneer</x:v>
      </x:c>
      <x:c r="I14" s="53" t="str">
        <x:v>Local PSP + UPI + cards</x:v>
      </x:c>
      <x:c r="J14" s="53" t="str">
        <x:v>Entity/regulatory requirements, COD, low AOV, logistics.</x:v>
      </x:c>
      <x:c r="K14" s="53" t="str">
        <x:v>High</x:v>
      </x:c>
      <x:c r="L14" s="53" t="str">
        <x:v>Do only with local partner or marketplace strategy.</x:v>
      </x:c>
      <x:c r="M14" s="53" t="str">
        <x:v>S12; S23</x:v>
      </x:c>
      <x:c r="N14" s="54" t="n">
        <x:f>COUNTIF($C$2:$C$15,"&gt;"&amp;C14)+COUNTIF($C$2:C14,C14)</x:f>
        <x:v>14</x:v>
      </x:c>
    </x:row>
    <x:row r="15">
      <x:c r="A15" s="63" t="str">
        <x:v>China / Hong Kong seller ops</x:v>
      </x:c>
      <x:c r="B15" s="64" t="str">
        <x:v>Seller-side layer</x:v>
      </x:c>
      <x:c r="C15" s="68" t="n">
        <x:v>75</x:v>
      </x:c>
      <x:c r="D15" s="64" t="str">
        <x:v>Chinese/English</x:v>
      </x:c>
      <x:c r="E15" s="64" t="str">
        <x:v>Not a buyer target here; useful for collecting payouts, FX, and paying suppliers.</x:v>
      </x:c>
      <x:c r="F15" s="64" t="str">
        <x:v>Marketplace payouts, multi-currency account, supplier payments</x:v>
      </x:c>
      <x:c r="G15" s="64" t="str">
        <x:v>Airwallex; Payoneer; WorldFirst; PingPong; LianLian Global; Wise Business</x:v>
      </x:c>
      <x:c r="H15" s="64" t="str">
        <x:v>Same as checkout provider backup accounts</x:v>
      </x:c>
      <x:c r="I15" s="64" t="str">
        <x:v>One primary account + one backup + supplier-payment route</x:v>
      </x:c>
      <x:c r="J15" s="64" t="str">
        <x:v>KYC, account freezes, FX spread, platform documentation.</x:v>
      </x:c>
      <x:c r="K15" s="64" t="str">
        <x:v>Medium</x:v>
      </x:c>
      <x:c r="L15" s="64" t="str">
        <x:v>Set up redundant collection accounts before scaling.</x:v>
      </x:c>
      <x:c r="M15" s="64" t="str">
        <x:v>S13; S14; S15; S16; S17; S24; S25</x:v>
      </x:c>
      <x:c r="N15" s="65" t="n">
        <x:f>COUNTIF($C$2:$C$15,"&gt;"&amp;C15)+COUNTIF($C$2:C15,C15)</x:f>
        <x:v>10</x:v>
      </x:c>
    </x:row>
  </x:sheetData>
  <x:conditionalFormatting sqref="C2:C15">
    <x:cfRule type="colorScale" priority="1">
      <x:colorScale>
        <x:cfvo type="min"/>
        <x:cfvo type="percentile" val="50"/>
        <x:cfvo type="max"/>
        <x:color rgb="FFFCA5A5"/>
        <x:color rgb="FFFDE68A"/>
        <x:color rgb="FF86EFAC"/>
      </x:colorScale>
    </x:cfRule>
  </x:conditionalFormatting>
  <x:conditionalFormatting sqref="K2:K15">
    <x:cfRule type="containsText" dxfId="0" priority="2" operator="containsText" text="High"/>
    <x:cfRule type="containsText" dxfId="1" priority="3" operator="containsText" text="Low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17.780000686645508" hidden="0" customWidth="1"/>
    <x:col min="3" max="3" width="31.110000610351562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  <x:col min="7" max="7" width="12.220000267028809" hidden="0" customWidth="1"/>
  </x:cols>
  <x:sheetData>
    <x:row r="1" ht="28.5" customHeight="1">
      <x:c r="A1" s="17" t="str">
        <x:v>Company / Product</x:v>
      </x:c>
      <x:c r="B1" s="22" t="str">
        <x:v>Layer</x:v>
      </x:c>
      <x:c r="C1" s="22" t="str">
        <x:v>Best-Fit Markets</x:v>
      </x:c>
      <x:c r="D1" s="22" t="str">
        <x:v>What It Solves</x:v>
      </x:c>
      <x:c r="E1" s="22" t="str">
        <x:v>When To Use First</x:v>
      </x:c>
      <x:c r="F1" s="22" t="str">
        <x:v>Watch-Outs</x:v>
      </x:c>
      <x:c r="G1" s="18" t="str">
        <x:v>Source IDs</x:v>
      </x:c>
    </x:row>
    <x:row r="2">
      <x:c r="A2" s="49" t="str">
        <x:v>Shopify Payments / Shop Pay</x:v>
      </x:c>
      <x:c r="B2" s="50" t="str">
        <x:v>Buyer checkout</x:v>
      </x:c>
      <x:c r="C2" s="50" t="str">
        <x:v>US, CA, UK, EU, AU/NZ, JP and supported countries</x:v>
      </x:c>
      <x:c r="D2" s="50" t="str">
        <x:v>Fast DTC checkout, cards, wallets, Shop Pay</x:v>
      </x:c>
      <x:c r="E2" s="50" t="str">
        <x:v>First Shopify store stack</x:v>
      </x:c>
      <x:c r="F2" s="50" t="str">
        <x:v>Merchant/entity must be in a supported country.</x:v>
      </x:c>
      <x:c r="G2" s="51" t="str">
        <x:v>S02</x:v>
      </x:c>
    </x:row>
    <x:row r="3">
      <x:c r="A3" s="52" t="str">
        <x:v>Stripe Checkout / Payment Element / Link</x:v>
      </x:c>
      <x:c r="B3" s="53" t="str">
        <x:v>Buyer checkout + local methods</x:v>
      </x:c>
      <x:c r="C3" s="53" t="str">
        <x:v>US, CA, UK, EU, AU/NZ, JP, MX, BR and more</x:v>
      </x:c>
      <x:c r="D3" s="53" t="str">
        <x:v>One API for cards, wallets, and selected local payment methods</x:v>
      </x:c>
      <x:c r="E3" s="53" t="str">
        <x:v>Custom landing/preorder or non-Shopify checkout</x:v>
      </x:c>
      <x:c r="F3" s="53" t="str">
        <x:v>Payment method availability depends on merchant country and currency.</x:v>
      </x:c>
      <x:c r="G3" s="54" t="str">
        <x:v>S01</x:v>
      </x:c>
    </x:row>
    <x:row r="4">
      <x:c r="A4" s="52" t="str">
        <x:v>PayPal Checkout / Braintree</x:v>
      </x:c>
      <x:c r="B4" s="53" t="str">
        <x:v>Buyer trust</x:v>
      </x:c>
      <x:c r="C4" s="53" t="str">
        <x:v>US, CA, UK, EU, AU/NZ, Japan, selected LatAm</x:v>
      </x:c>
      <x:c r="D4" s="53" t="str">
        <x:v>Trust bridge for new cross-border brands</x:v>
      </x:c>
      <x:c r="E4" s="53" t="str">
        <x:v>Add beside card checkout in early tests</x:v>
      </x:c>
      <x:c r="F4" s="53" t="str">
        <x:v>Fees, disputes, and account review need cash buffer.</x:v>
      </x:c>
      <x:c r="G4" s="54" t="str">
        <x:v>S03</x:v>
      </x:c>
    </x:row>
    <x:row r="5">
      <x:c r="A5" s="52" t="str">
        <x:v>Adyen</x:v>
      </x:c>
      <x:c r="B5" s="53" t="str">
        <x:v>Enterprise PSP/acquirer</x:v>
      </x:c>
      <x:c r="C5" s="53" t="str">
        <x:v>EU, UK, US, LatAm, APAC</x:v>
      </x:c>
      <x:c r="D5" s="53" t="str">
        <x:v>Global acquiring, local payment methods, risk tools</x:v>
      </x:c>
      <x:c r="E5" s="53" t="str">
        <x:v>Use when countries and volume become complex</x:v>
      </x:c>
      <x:c r="F5" s="53" t="str">
        <x:v>Commercial and integration overhead for early stage.</x:v>
      </x:c>
      <x:c r="G5" s="54" t="str">
        <x:v>S04</x:v>
      </x:c>
    </x:row>
    <x:row r="6">
      <x:c r="A6" s="52" t="str">
        <x:v>Checkout.com</x:v>
      </x:c>
      <x:c r="B6" s="53" t="str">
        <x:v>Enterprise PSP/acquirer</x:v>
      </x:c>
      <x:c r="C6" s="53" t="str">
        <x:v>UK/EU/US/global card-heavy merchants</x:v>
      </x:c>
      <x:c r="D6" s="53" t="str">
        <x:v>Authorization optimization and cards/APMs</x:v>
      </x:c>
      <x:c r="E6" s="53" t="str">
        <x:v>Use after meaningful payment volume</x:v>
      </x:c>
      <x:c r="F6" s="53" t="str">
        <x:v>Usually not the first no-code test tool.</x:v>
      </x:c>
      <x:c r="G6" s="54" t="str">
        <x:v>S28</x:v>
      </x:c>
    </x:row>
    <x:row r="7">
      <x:c r="A7" s="52" t="str">
        <x:v>dLocal</x:v>
      </x:c>
      <x:c r="B7" s="53" t="str">
        <x:v>Emerging-market local payments</x:v>
      </x:c>
      <x:c r="C7" s="53" t="str">
        <x:v>Mexico, Brazil, Colombia, Argentina, Chile</x:v>
      </x:c>
      <x:c r="D7" s="53" t="str">
        <x:v>Local cards, wallets, bank transfers, vouchers</x:v>
      </x:c>
      <x:c r="E7" s="53" t="str">
        <x:v>One integration for LatAm complexity</x:v>
      </x:c>
      <x:c r="F7" s="53" t="str">
        <x:v>Confirm refunds, settlement currency, and exact country coverage.</x:v>
      </x:c>
      <x:c r="G7" s="54" t="str">
        <x:v>S05</x:v>
      </x:c>
    </x:row>
    <x:row r="8">
      <x:c r="A8" s="52" t="str">
        <x:v>EBANX</x:v>
      </x:c>
      <x:c r="B8" s="53" t="str">
        <x:v>LatAm local payments</x:v>
      </x:c>
      <x:c r="C8" s="53" t="str">
        <x:v>Brazil, Mexico, Chile, Colombia, Argentina</x:v>
      </x:c>
      <x:c r="D8" s="53" t="str">
        <x:v>Pix, Boleto, OXXO, SPEI, PSE, local cards</x:v>
      </x:c>
      <x:c r="E8" s="53" t="str">
        <x:v>Global merchant entering LatAm</x:v>
      </x:c>
      <x:c r="F8" s="53" t="str">
        <x:v>Country/payment-specific rules vary.</x:v>
      </x:c>
      <x:c r="G8" s="54" t="str">
        <x:v>S06</x:v>
      </x:c>
    </x:row>
    <x:row r="9">
      <x:c r="A9" s="52" t="str">
        <x:v>Mercado Pago</x:v>
      </x:c>
      <x:c r="B9" s="53" t="str">
        <x:v>Wallet + local acquiring</x:v>
      </x:c>
      <x:c r="C9" s="53" t="str">
        <x:v>Mexico, Brazil, Argentina, Chile, Colombia</x:v>
      </x:c>
      <x:c r="D9" s="53" t="str">
        <x:v>Local trust, wallet, cards, installments, Mercado Libre ecosystem</x:v>
      </x:c>
      <x:c r="E9" s="53" t="str">
        <x:v>Best first option for Argentina and useful in Mexico/Chile</x:v>
      </x:c>
      <x:c r="F9" s="53" t="str">
        <x:v>Local account and settlement rules matter.</x:v>
      </x:c>
      <x:c r="G9" s="54" t="str">
        <x:v>S07</x:v>
      </x:c>
    </x:row>
    <x:row r="10">
      <x:c r="A10" s="52" t="str">
        <x:v>PayU Latam</x:v>
      </x:c>
      <x:c r="B10" s="53" t="str">
        <x:v>Local PSP</x:v>
      </x:c>
      <x:c r="C10" s="53" t="str">
        <x:v>Colombia, Mexico, Argentina and LatAm</x:v>
      </x:c>
      <x:c r="D10" s="53" t="str">
        <x:v>PSE, cards, local methods</x:v>
      </x:c>
      <x:c r="E10" s="53" t="str">
        <x:v>Colombia/PSE-focused checkout</x:v>
      </x:c>
      <x:c r="F10" s="53" t="str">
        <x:v>Coverage and features vary by country.</x:v>
      </x:c>
      <x:c r="G10" s="54" t="str">
        <x:v>S10</x:v>
      </x:c>
    </x:row>
    <x:row r="11">
      <x:c r="A11" s="52" t="str">
        <x:v>Conekta</x:v>
      </x:c>
      <x:c r="B11" s="53" t="str">
        <x:v>Mexico PSP</x:v>
      </x:c>
      <x:c r="C11" s="53" t="str">
        <x:v>Mexico</x:v>
      </x:c>
      <x:c r="D11" s="53" t="str">
        <x:v>OXXO, SPEI, cards</x:v>
      </x:c>
      <x:c r="E11" s="53" t="str">
        <x:v>Mexico-specific DTC checkout</x:v>
      </x:c>
      <x:c r="F11" s="53" t="str">
        <x:v>Check local entity/settlement requirements.</x:v>
      </x:c>
      <x:c r="G11" s="54" t="str">
        <x:v>S09</x:v>
      </x:c>
    </x:row>
    <x:row r="12">
      <x:c r="A12" s="52" t="str">
        <x:v>KOMOJU</x:v>
      </x:c>
      <x:c r="B12" s="53" t="str">
        <x:v>Japan PSP</x:v>
      </x:c>
      <x:c r="C12" s="53" t="str">
        <x:v>Japan</x:v>
      </x:c>
      <x:c r="D12" s="53" t="str">
        <x:v>Konbini, PayPay, cards, bank transfer</x:v>
      </x:c>
      <x:c r="E12" s="53" t="str">
        <x:v>Serious Japan-localized store</x:v>
      </x:c>
      <x:c r="F12" s="53" t="str">
        <x:v>Needs Japanese checkout/support context.</x:v>
      </x:c>
      <x:c r="G12" s="54" t="str">
        <x:v>S11</x:v>
      </x:c>
    </x:row>
    <x:row r="13">
      <x:c r="A13" s="52" t="str">
        <x:v>Razorpay / Cashfree / PayU India</x:v>
      </x:c>
      <x:c r="B13" s="53" t="str">
        <x:v>India PSP</x:v>
      </x:c>
      <x:c r="C13" s="53" t="str">
        <x:v>India</x:v>
      </x:c>
      <x:c r="D13" s="53" t="str">
        <x:v>UPI, cards, netbanking, wallets</x:v>
      </x:c>
      <x:c r="E13" s="53" t="str">
        <x:v>Only with India entity/partner</x:v>
      </x:c>
      <x:c r="F13" s="53" t="str">
        <x:v>Local regulation and onboarding requirements.</x:v>
      </x:c>
      <x:c r="G13" s="54" t="str">
        <x:v>S12; S23</x:v>
      </x:c>
    </x:row>
    <x:row r="14">
      <x:c r="A14" s="52" t="str">
        <x:v>Klarna / Affirm / Afterpay</x:v>
      </x:c>
      <x:c r="B14" s="53" t="str">
        <x:v>BNPL</x:v>
      </x:c>
      <x:c r="C14" s="53" t="str">
        <x:v>US, UK/EU, AU/NZ</x:v>
      </x:c>
      <x:c r="D14" s="53" t="str">
        <x:v>Installments for mid/high AOV products</x:v>
      </x:c>
      <x:c r="E14" s="53" t="str">
        <x:v>Add after AOV and returns are understood</x:v>
      </x:c>
      <x:c r="F14" s="53" t="str">
        <x:v>Fees, refund handling, and ad/compliance claims.</x:v>
      </x:c>
      <x:c r="G14" s="54" t="str">
        <x:v>S29</x:v>
      </x:c>
    </x:row>
    <x:row r="15">
      <x:c r="A15" s="52" t="str">
        <x:v>Revolut Business / Revolut Pay / Merchant Account</x:v>
      </x:c>
      <x:c r="B15" s="53" t="str">
        <x:v>Seller settlement + checkout add-on</x:v>
      </x:c>
      <x:c r="C15" s="53" t="str">
        <x:v>UK/EU/Spain/Germany/Australia/Singapore; sellers with supported entity</x:v>
      </x:c>
      <x:c r="D15" s="53" t="str">
        <x:v>Multi-currency accounts, FX, merchant account, Revolut Pay, payment gateway/plugins</x:v>
      </x:c>
      <x:c r="E15" s="53" t="str">
        <x:v>Use when a UK/EU/AU entity wants FX, settlement, and checkout add-on in one account</x:v>
      </x:c>
      <x:c r="F15" s="53" t="str">
        <x:v>Merchant account countries are limited; not a Mexico/Brazil/Argentina local-payment answer; avoid using as sole PSP before testing.</x:v>
      </x:c>
      <x:c r="G15" s="54" t="str">
        <x:v>S31; S32; S33; S34</x:v>
      </x:c>
    </x:row>
    <x:row r="16">
      <x:c r="A16" s="52" t="str">
        <x:v>Airwallex</x:v>
      </x:c>
      <x:c r="B16" s="53" t="str">
        <x:v>Seller settlement / FX / global accounts</x:v>
      </x:c>
      <x:c r="C16" s="53" t="str">
        <x:v>Cross-border DTC and suppliers</x:v>
      </x:c>
      <x:c r="D16" s="53" t="str">
        <x:v>Multi-currency accounts, FX, cards, payouts</x:v>
      </x:c>
      <x:c r="E16" s="53" t="str">
        <x:v>Use early for USD/EUR/GBP receipts and supplier payments</x:v>
      </x:c>
      <x:c r="F16" s="53" t="str">
        <x:v>KYC and compliance documents needed.</x:v>
      </x:c>
      <x:c r="G16" s="54" t="str">
        <x:v>S13</x:v>
      </x:c>
    </x:row>
    <x:row r="17">
      <x:c r="A17" s="52" t="str">
        <x:v>Payoneer</x:v>
      </x:c>
      <x:c r="B17" s="53" t="str">
        <x:v>Marketplace payout / seller account</x:v>
      </x:c>
      <x:c r="C17" s="53" t="str">
        <x:v>Amazon, Walmart, eBay, marketplace sellers</x:v>
      </x:c>
      <x:c r="D17" s="53" t="str">
        <x:v>Platform payouts, withdrawals, supplier payments</x:v>
      </x:c>
      <x:c r="E17" s="53" t="str">
        <x:v>When selling through marketplaces</x:v>
      </x:c>
      <x:c r="F17" s="53" t="str">
        <x:v>Account holds and platform binding rules.</x:v>
      </x:c>
      <x:c r="G17" s="54" t="str">
        <x:v>S14</x:v>
      </x:c>
    </x:row>
    <x:row r="18">
      <x:c r="A18" s="52" t="str">
        <x:v>WorldFirst</x:v>
      </x:c>
      <x:c r="B18" s="53" t="str">
        <x:v>Marketplace payout + supplier payments</x:v>
      </x:c>
      <x:c r="C18" s="53" t="str">
        <x:v>Amazon/eBay/Shopee/Lazada/1688 related workflows</x:v>
      </x:c>
      <x:c r="D18" s="53" t="str">
        <x:v>Multi-currency collection and supplier payments</x:v>
      </x:c>
      <x:c r="E18" s="53" t="str">
        <x:v>When China sourcing and marketplace sales combine</x:v>
      </x:c>
      <x:c r="F18" s="53" t="str">
        <x:v>Coverage varies by country/platform.</x:v>
      </x:c>
      <x:c r="G18" s="54" t="str">
        <x:v>S15</x:v>
      </x:c>
    </x:row>
    <x:row r="19">
      <x:c r="A19" s="52" t="str">
        <x:v>PingPong</x:v>
      </x:c>
      <x:c r="B19" s="53" t="str">
        <x:v>Marketplace/platform collection</x:v>
      </x:c>
      <x:c r="C19" s="53" t="str">
        <x:v>Cross-border sellers and platforms</x:v>
      </x:c>
      <x:c r="D19" s="53" t="str">
        <x:v>Collection, FX, supplier payments</x:v>
      </x:c>
      <x:c r="E19" s="53" t="str">
        <x:v>Use as primary or backup seller account</x:v>
      </x:c>
      <x:c r="F19" s="53" t="str">
        <x:v>Keep documentation and backup accounts.</x:v>
      </x:c>
      <x:c r="G19" s="54" t="str">
        <x:v>S16</x:v>
      </x:c>
    </x:row>
    <x:row r="20">
      <x:c r="A20" s="52" t="str">
        <x:v>LianLian Global</x:v>
      </x:c>
      <x:c r="B20" s="53" t="str">
        <x:v>Cross-border collection/payment</x:v>
      </x:c>
      <x:c r="C20" s="53" t="str">
        <x:v>China-based sellers and global merchants</x:v>
      </x:c>
      <x:c r="D20" s="53" t="str">
        <x:v>Global collection, payout, merchant services</x:v>
      </x:c>
      <x:c r="E20" s="53" t="str">
        <x:v>Useful China-seller payment stack option</x:v>
      </x:c>
      <x:c r="F20" s="53" t="str">
        <x:v>Confirm country and platform support.</x:v>
      </x:c>
      <x:c r="G20" s="54" t="str">
        <x:v>S17</x:v>
      </x:c>
    </x:row>
    <x:row r="21">
      <x:c r="A21" s="63" t="str">
        <x:v>Wise Business</x:v>
      </x:c>
      <x:c r="B21" s="64" t="str">
        <x:v>Multi-currency account / transfer</x:v>
      </x:c>
      <x:c r="C21" s="64" t="str">
        <x:v>US/EU/UK/AU and supplier payments</x:v>
      </x:c>
      <x:c r="D21" s="64" t="str">
        <x:v>Low-friction FX and international transfers</x:v>
      </x:c>
      <x:c r="E21" s="64" t="str">
        <x:v>Use as auxiliary FX/transfer account</x:v>
      </x:c>
      <x:c r="F21" s="64" t="str">
        <x:v>Not a full buyer checkout PSP.</x:v>
      </x:c>
      <x:c r="G21" s="65" t="str">
        <x:v>S24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31.110000610351562" hidden="0" customWidth="1"/>
    <x:col min="4" max="4" width="31.110000610351562" hidden="0" customWidth="1"/>
    <x:col min="5" max="5" width="31.110000610351562" hidden="0" customWidth="1"/>
    <x:col min="6" max="6" width="31.110000610351562" hidden="0" customWidth="1"/>
  </x:cols>
  <x:sheetData>
    <x:row r="1" ht="28.5" customHeight="1">
      <x:c r="A1" s="17" t="str">
        <x:v>Payment Method</x:v>
      </x:c>
      <x:c r="B1" s="22" t="str">
        <x:v>Layer</x:v>
      </x:c>
      <x:c r="C1" s="22" t="str">
        <x:v>Important Countries</x:v>
      </x:c>
      <x:c r="D1" s="22" t="str">
        <x:v>Why It Matters</x:v>
      </x:c>
      <x:c r="E1" s="22" t="str">
        <x:v>Providers</x:v>
      </x:c>
      <x:c r="F1" s="18" t="str">
        <x:v>Operational Note</x:v>
      </x:c>
    </x:row>
    <x:row r="2">
      <x:c r="A2" s="49" t="str">
        <x:v>Cards / debit cards</x:v>
      </x:c>
      <x:c r="B2" s="50" t="str">
        <x:v>Global baseline</x:v>
      </x:c>
      <x:c r="C2" s="50" t="str">
        <x:v>Every market</x:v>
      </x:c>
      <x:c r="D2" s="50" t="str">
        <x:v>The default online payment rail.</x:v>
      </x:c>
      <x:c r="E2" s="50" t="str">
        <x:v>Stripe; Shopify Payments; PayPal/Braintree; Adyen; Checkout.com</x:v>
      </x:c>
      <x:c r="F2" s="51" t="str">
        <x:v>Manage fraud, 3DS, and chargebacks.</x:v>
      </x:c>
    </x:row>
    <x:row r="3">
      <x:c r="A3" s="52" t="str">
        <x:v>Apple Pay / Google Pay / Shop Pay / Link</x:v>
      </x:c>
      <x:c r="B3" s="53" t="str">
        <x:v>Wallets</x:v>
      </x:c>
      <x:c r="C3" s="53" t="str">
        <x:v>US, CA, UK, EU, AU/NZ</x:v>
      </x:c>
      <x:c r="D3" s="53" t="str">
        <x:v>Reduces mobile checkout friction.</x:v>
      </x:c>
      <x:c r="E3" s="53" t="str">
        <x:v>Shopify; Stripe; Adyen; PayPal</x:v>
      </x:c>
      <x:c r="F3" s="54" t="str">
        <x:v>Usually sits on top of card rails.</x:v>
      </x:c>
    </x:row>
    <x:row r="4">
      <x:c r="A4" s="52" t="str">
        <x:v>PayPal</x:v>
      </x:c>
      <x:c r="B4" s="53" t="str">
        <x:v>Wallet/trust</x:v>
      </x:c>
      <x:c r="C4" s="53" t="str">
        <x:v>US, CA, UK, EU, AU/NZ, JP</x:v>
      </x:c>
      <x:c r="D4" s="53" t="str">
        <x:v>Improves trust for unknown cross-border brands.</x:v>
      </x:c>
      <x:c r="E4" s="53" t="str">
        <x:v>PayPal Checkout; Braintree; Shopify</x:v>
      </x:c>
      <x:c r="F4" s="54" t="str">
        <x:v>Dispute and reserve risk.</x:v>
      </x:c>
    </x:row>
    <x:row r="5">
      <x:c r="A5" s="52" t="str">
        <x:v>Revolut Pay</x:v>
      </x:c>
      <x:c r="B5" s="53" t="str">
        <x:v>Wallet / account checkout</x:v>
      </x:c>
      <x:c r="C5" s="53" t="str">
        <x:v>UK/EU and Revolut-heavy markets</x:v>
      </x:c>
      <x:c r="D5" s="53" t="str">
        <x:v>Low-friction checkout for Revolut users and direct settlement into Revolut Merchant account.</x:v>
      </x:c>
      <x:c r="E5" s="53" t="str">
        <x:v>Revolut Business Merchant Account; Revolut Gateway</x:v>
      </x:c>
      <x:c r="F5" s="54" t="str">
        <x:v>Useful UK/EU add-on, not a replacement for LatAm local rails.</x:v>
      </x:c>
    </x:row>
    <x:row r="6">
      <x:c r="A6" s="52" t="str">
        <x:v>OXXO / Paynet cash voucher</x:v>
      </x:c>
      <x:c r="B6" s="53" t="str">
        <x:v>Cash voucher</x:v>
      </x:c>
      <x:c r="C6" s="53" t="str">
        <x:v>Mexico</x:v>
      </x:c>
      <x:c r="D6" s="53" t="str">
        <x:v>Reaches cash-preferring buyers.</x:v>
      </x:c>
      <x:c r="E6" s="53" t="str">
        <x:v>dLocal; EBANX; Conekta; Stripe Mexico</x:v>
      </x:c>
      <x:c r="F6" s="54" t="str">
        <x:v>Delayed payment; do not reserve inventory too long.</x:v>
      </x:c>
    </x:row>
    <x:row r="7">
      <x:c r="A7" s="52" t="str">
        <x:v>SPEI</x:v>
      </x:c>
      <x:c r="B7" s="53" t="str">
        <x:v>Bank transfer</x:v>
      </x:c>
      <x:c r="C7" s="53" t="str">
        <x:v>Mexico</x:v>
      </x:c>
      <x:c r="D7" s="53" t="str">
        <x:v>Important Mexican bank-transfer rail.</x:v>
      </x:c>
      <x:c r="E7" s="53" t="str">
        <x:v>dLocal; EBANX; Conekta; Stripe Mexico</x:v>
      </x:c>
      <x:c r="F7" s="54" t="str">
        <x:v>Refund and reconciliation flow matters.</x:v>
      </x:c>
    </x:row>
    <x:row r="8">
      <x:c r="A8" s="52" t="str">
        <x:v>Pix</x:v>
      </x:c>
      <x:c r="B8" s="53" t="str">
        <x:v>Real-time bank payment</x:v>
      </x:c>
      <x:c r="C8" s="53" t="str">
        <x:v>Brazil</x:v>
      </x:c>
      <x:c r="D8" s="53" t="str">
        <x:v>Brazil conversion must-have.</x:v>
      </x:c>
      <x:c r="E8" s="53" t="str">
        <x:v>EBANX; dLocal; Mercado Pago; Stripe; Adyen</x:v>
      </x:c>
      <x:c r="F8" s="54" t="str">
        <x:v>QR expiry and refund flow need clarity.</x:v>
      </x:c>
    </x:row>
    <x:row r="9">
      <x:c r="A9" s="52" t="str">
        <x:v>Boleto</x:v>
      </x:c>
      <x:c r="B9" s="53" t="str">
        <x:v>Voucher</x:v>
      </x:c>
      <x:c r="C9" s="53" t="str">
        <x:v>Brazil</x:v>
      </x:c>
      <x:c r="D9" s="53" t="str">
        <x:v>Still useful for cash/bank voucher behavior.</x:v>
      </x:c>
      <x:c r="E9" s="53" t="str">
        <x:v>EBANX; dLocal; Stripe Brazil</x:v>
      </x:c>
      <x:c r="F9" s="54" t="str">
        <x:v>Delayed confirmation and inventory lock risk.</x:v>
      </x:c>
    </x:row>
    <x:row r="10">
      <x:c r="A10" s="52" t="str">
        <x:v>Mercado Pago wallet/account money</x:v>
      </x:c>
      <x:c r="B10" s="53" t="str">
        <x:v>Wallet/local trust</x:v>
      </x:c>
      <x:c r="C10" s="53" t="str">
        <x:v>Mexico, Brazil, Argentina, Chile, Colombia</x:v>
      </x:c>
      <x:c r="D10" s="53" t="str">
        <x:v>Local wallet trust and installments.</x:v>
      </x:c>
      <x:c r="E10" s="53" t="str">
        <x:v>Mercado Pago</x:v>
      </x:c>
      <x:c r="F10" s="54" t="str">
        <x:v>Especially relevant in Argentina and Mexico.</x:v>
      </x:c>
    </x:row>
    <x:row r="11">
      <x:c r="A11" s="52" t="str">
        <x:v>PSE</x:v>
      </x:c>
      <x:c r="B11" s="53" t="str">
        <x:v>Bank transfer</x:v>
      </x:c>
      <x:c r="C11" s="53" t="str">
        <x:v>Colombia</x:v>
      </x:c>
      <x:c r="D11" s="53" t="str">
        <x:v>Core Colombia bank-transfer method.</x:v>
      </x:c>
      <x:c r="E11" s="53" t="str">
        <x:v>PayU; dLocal; EBANX; Mercado Pago</x:v>
      </x:c>
      <x:c r="F11" s="54" t="str">
        <x:v>Status sync and refunds should be tested.</x:v>
      </x:c>
    </x:row>
    <x:row r="12">
      <x:c r="A12" s="52" t="str">
        <x:v>Nequi / Daviplata</x:v>
      </x:c>
      <x:c r="B12" s="53" t="str">
        <x:v>Mobile wallet</x:v>
      </x:c>
      <x:c r="C12" s="53" t="str">
        <x:v>Colombia</x:v>
      </x:c>
      <x:c r="D12" s="53" t="str">
        <x:v>Popular mobile wallet behavior.</x:v>
      </x:c>
      <x:c r="E12" s="53" t="str">
        <x:v>PayU; dLocal; EBANX; Mercado Pago</x:v>
      </x:c>
      <x:c r="F12" s="54" t="str">
        <x:v>Requires local checkout support.</x:v>
      </x:c>
    </x:row>
    <x:row r="13">
      <x:c r="A13" s="52" t="str">
        <x:v>Rapipago / Pago Facil</x:v>
      </x:c>
      <x:c r="B13" s="53" t="str">
        <x:v>Cash voucher</x:v>
      </x:c>
      <x:c r="C13" s="53" t="str">
        <x:v>Argentina</x:v>
      </x:c>
      <x:c r="D13" s="53" t="str">
        <x:v>Cash/local voucher coverage.</x:v>
      </x:c>
      <x:c r="E13" s="53" t="str">
        <x:v>Mercado Pago; dLocal; EBANX; PayU</x:v>
      </x:c>
      <x:c r="F13" s="54" t="str">
        <x:v>Macro/FX risk dominates.</x:v>
      </x:c>
    </x:row>
    <x:row r="14">
      <x:c r="A14" s="52" t="str">
        <x:v>Bizum</x:v>
      </x:c>
      <x:c r="B14" s="53" t="str">
        <x:v>Bank wallet</x:v>
      </x:c>
      <x:c r="C14" s="53" t="str">
        <x:v>Spain</x:v>
      </x:c>
      <x:c r="D14" s="53" t="str">
        <x:v>Spanish local bank-wallet habit.</x:v>
      </x:c>
      <x:c r="E14" s="53" t="str">
        <x:v>Local PSPs; Adyen/Stripe routes where available</x:v>
      </x:c>
      <x:c r="F14" s="54" t="str">
        <x:v>Add after Spain is a serious target.</x:v>
      </x:c>
    </x:row>
    <x:row r="15">
      <x:c r="A15" s="52" t="str">
        <x:v>SEPA</x:v>
      </x:c>
      <x:c r="B15" s="53" t="str">
        <x:v>Bank transfer/direct debit</x:v>
      </x:c>
      <x:c r="C15" s="53" t="str">
        <x:v>EU</x:v>
      </x:c>
      <x:c r="D15" s="53" t="str">
        <x:v>EU bank payment infrastructure.</x:v>
      </x:c>
      <x:c r="E15" s="53" t="str">
        <x:v>Stripe; Adyen; PayPal/Braintree</x:v>
      </x:c>
      <x:c r="F15" s="54" t="str">
        <x:v>Different authorization/refund timing.</x:v>
      </x:c>
    </x:row>
    <x:row r="16">
      <x:c r="A16" s="52" t="str">
        <x:v>Klarna / Affirm / Afterpay</x:v>
      </x:c>
      <x:c r="B16" s="53" t="str">
        <x:v>BNPL</x:v>
      </x:c>
      <x:c r="C16" s="53" t="str">
        <x:v>US, UK/EU, AU/NZ</x:v>
      </x:c>
      <x:c r="D16" s="53" t="str">
        <x:v>Can improve AOV conversion.</x:v>
      </x:c>
      <x:c r="E16" s="53" t="str">
        <x:v>Klarna; Affirm; Afterpay; Shopify; Stripe</x:v>
      </x:c>
      <x:c r="F16" s="54" t="str">
        <x:v>Only after margin and returns are known.</x:v>
      </x:c>
    </x:row>
    <x:row r="17">
      <x:c r="A17" s="52" t="str">
        <x:v>Konbini</x:v>
      </x:c>
      <x:c r="B17" s="53" t="str">
        <x:v>Convenience-store payment</x:v>
      </x:c>
      <x:c r="C17" s="53" t="str">
        <x:v>Japan</x:v>
      </x:c>
      <x:c r="D17" s="53" t="str">
        <x:v>Japan localized checkout expectation.</x:v>
      </x:c>
      <x:c r="E17" s="53" t="str">
        <x:v>KOMOJU; Stripe Japan; Adyen</x:v>
      </x:c>
      <x:c r="F17" s="54" t="str">
        <x:v>Delayed payment and Japanese instructions.</x:v>
      </x:c>
    </x:row>
    <x:row r="18">
      <x:c r="A18" s="52" t="str">
        <x:v>PayPay</x:v>
      </x:c>
      <x:c r="B18" s="53" t="str">
        <x:v>Mobile wallet</x:v>
      </x:c>
      <x:c r="C18" s="53" t="str">
        <x:v>Japan</x:v>
      </x:c>
      <x:c r="D18" s="53" t="str">
        <x:v>Important Japan wallet option.</x:v>
      </x:c>
      <x:c r="E18" s="53" t="str">
        <x:v>KOMOJU; Adyen/local PSPs</x:v>
      </x:c>
      <x:c r="F18" s="54" t="str">
        <x:v>Needs localized product and checkout copy.</x:v>
      </x:c>
    </x:row>
    <x:row r="19">
      <x:c r="A19" s="52" t="str">
        <x:v>UPI</x:v>
      </x:c>
      <x:c r="B19" s="53" t="str">
        <x:v>Real-time bank payment</x:v>
      </x:c>
      <x:c r="C19" s="53" t="str">
        <x:v>India</x:v>
      </x:c>
      <x:c r="D19" s="53" t="str">
        <x:v>India online payment core.</x:v>
      </x:c>
      <x:c r="E19" s="53" t="str">
        <x:v>Razorpay; PayU India; Cashfree; PhonePe</x:v>
      </x:c>
      <x:c r="F19" s="54" t="str">
        <x:v>Often requires local entity/partner.</x:v>
      </x:c>
    </x:row>
    <x:row r="20">
      <x:c r="A20" s="52" t="str">
        <x:v>Interac</x:v>
      </x:c>
      <x:c r="B20" s="53" t="str">
        <x:v>Debit/transfer</x:v>
      </x:c>
      <x:c r="C20" s="53" t="str">
        <x:v>Canada</x:v>
      </x:c>
      <x:c r="D20" s="53" t="str">
        <x:v>Local Canadian payment behavior.</x:v>
      </x:c>
      <x:c r="E20" s="53" t="str">
        <x:v>Stripe/Adyen/local processors depending setup</x:v>
      </x:c>
      <x:c r="F20" s="54" t="str">
        <x:v>Useful for CAD-localized checkout.</x:v>
      </x:c>
    </x:row>
    <x:row r="21">
      <x:c r="A21" s="63" t="str">
        <x:v>COD</x:v>
      </x:c>
      <x:c r="B21" s="64" t="str">
        <x:v>Cash on delivery</x:v>
      </x:c>
      <x:c r="C21" s="64" t="str">
        <x:v>India, Colombia, Japan in some contexts</x:v>
      </x:c>
      <x:c r="D21" s="64" t="str">
        <x:v>Trust booster in lower-card-trust markets.</x:v>
      </x:c>
      <x:c r="E21" s="64" t="str">
        <x:v>Local logistics/marketplace</x:v>
      </x:c>
      <x:c r="F21" s="65" t="str">
        <x:v>High refusal and return risk; avoid for first DTC tests.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36.66999816894531" hidden="0" customWidth="1"/>
    <x:col min="3" max="3" width="36.66999816894531" hidden="0" customWidth="1"/>
    <x:col min="4" max="4" width="36.66999816894531" hidden="0" customWidth="1"/>
  </x:cols>
  <x:sheetData>
    <x:row r="1" ht="28.5" customHeight="1">
      <x:c r="A1" s="17" t="str">
        <x:v>Use Case</x:v>
      </x:c>
      <x:c r="B1" s="22" t="str">
        <x:v>Recommended Company / Product Stack</x:v>
      </x:c>
      <x:c r="C1" s="22" t="str">
        <x:v>Best When</x:v>
      </x:c>
      <x:c r="D1" s="18" t="str">
        <x:v>Notes</x:v>
      </x:c>
    </x:row>
    <x:row r="2">
      <x:c r="A2" s="49" t="str">
        <x:v>US-first DTC</x:v>
      </x:c>
      <x:c r="B2" s="50" t="str">
        <x:v>Shopify Payments + PayPal + Shop Pay/Apple Pay</x:v>
      </x:c>
      <x:c r="C2" s="50" t="str">
        <x:v>When testing product demand with ads</x:v>
      </x:c>
      <x:c r="D2" s="51" t="str">
        <x:v>Keep checkout boring and trustworthy; optimize landing offer first.</x:v>
      </x:c>
    </x:row>
    <x:row r="3">
      <x:c r="A3" s="52" t="str">
        <x:v>Spanish LatAm test</x:v>
      </x:c>
      <x:c r="B3" s="53" t="str">
        <x:v>Mercado Pago or dLocal/EBANX + cards + OXXO/SPEI/PSE by country</x:v>
      </x:c>
      <x:c r="C3" s="53" t="str">
        <x:v>Mexico/Chile/Colombia tests</x:v>
      </x:c>
      <x:c r="D3" s="54" t="str">
        <x:v>Do not rely only on international cards.</x:v>
      </x:c>
    </x:row>
    <x:row r="4">
      <x:c r="A4" s="52" t="str">
        <x:v>Brazil test</x:v>
      </x:c>
      <x:c r="B4" s="53" t="str">
        <x:v>EBANX or dLocal + Pix + cards/installments + Boleto</x:v>
      </x:c>
      <x:c r="C4" s="53" t="str">
        <x:v>Brazil-specific launch</x:v>
      </x:c>
      <x:c r="D4" s="54" t="str">
        <x:v>Treat Brazil as its own market, not a Spanish-market add-on.</x:v>
      </x:c>
    </x:row>
    <x:row r="5">
      <x:c r="A5" s="52" t="str">
        <x:v>Marketplace-first LatAm</x:v>
      </x:c>
      <x:c r="B5" s="53" t="str">
        <x:v>Mercado Libre + Mercado Pago</x:v>
      </x:c>
      <x:c r="C5" s="53" t="str">
        <x:v>Argentina or low-trust LatAm tests</x:v>
      </x:c>
      <x:c r="D5" s="54" t="str">
        <x:v>Use platform trust before building standalone DTC.</x:v>
      </x:c>
    </x:row>
    <x:row r="6">
      <x:c r="A6" s="52" t="str">
        <x:v>Seller payout stack</x:v>
      </x:c>
      <x:c r="B6" s="53" t="str">
        <x:v>Airwallex/Revolut + Payoneer/WorldFirst/PingPong backup</x:v>
      </x:c>
      <x:c r="C6" s="53" t="str">
        <x:v>Multiple platforms and currencies</x:v>
      </x:c>
      <x:c r="D6" s="54" t="str">
        <x:v>Redundancy prevents one account review from stopping cash flow.</x:v>
      </x:c>
    </x:row>
    <x:row r="7">
      <x:c r="A7" s="52" t="str">
        <x:v>UK/EU business account + checkout backup</x:v>
      </x:c>
      <x:c r="B7" s="53" t="str">
        <x:v>Revolut Business + Stripe/Shopify + PayPal</x:v>
      </x:c>
      <x:c r="C7" s="53" t="str">
        <x:v>UK/EU/AU entity wants FX plus payment acceptance in one account</x:v>
      </x:c>
      <x:c r="D7" s="54" t="str">
        <x:v>Treat Revolut as add-on/secondary PSP until payment volume and risk controls are proven.</x:v>
      </x:c>
    </x:row>
    <x:row r="8">
      <x:c r="A8" s="52" t="str">
        <x:v>Supplier payments</x:v>
      </x:c>
      <x:c r="B8" s="53" t="str">
        <x:v>WorldFirst / Airwallex / Wise / LianLian / PingPong</x:v>
      </x:c>
      <x:c r="C8" s="53" t="str">
        <x:v>Paying Chinese suppliers from overseas sales</x:v>
      </x:c>
      <x:c r="D8" s="54" t="str">
        <x:v>Compare FX spread, transfer limits, and supplier acceptance.</x:v>
      </x:c>
    </x:row>
    <x:row r="9">
      <x:c r="A9" s="52" t="str">
        <x:v>EU launch</x:v>
      </x:c>
      <x:c r="B9" s="53" t="str">
        <x:v>Stripe/Shopify + PayPal + Klarna/SEPA + IOSS/VAT process</x:v>
      </x:c>
      <x:c r="C9" s="53" t="str">
        <x:v>Spain/Germany/EU expansion</x:v>
      </x:c>
      <x:c r="D9" s="54" t="str">
        <x:v>Compliance and returns matter more than adding every payment method.</x:v>
      </x:c>
    </x:row>
    <x:row r="10">
      <x:c r="A10" s="52" t="str">
        <x:v>Japan launch</x:v>
      </x:c>
      <x:c r="B10" s="53" t="str">
        <x:v>KOMOJU or Stripe Japan + cards + Konbini + PayPay</x:v>
      </x:c>
      <x:c r="C10" s="53" t="str">
        <x:v>Japan-specific product-market fit</x:v>
      </x:c>
      <x:c r="D10" s="54" t="str">
        <x:v>No Japan payment stack can rescue poor localization.</x:v>
      </x:c>
    </x:row>
    <x:row r="11">
      <x:c r="A11" s="63" t="str">
        <x:v>India launch</x:v>
      </x:c>
      <x:c r="B11" s="64" t="str">
        <x:v>Local PSP such as Razorpay/PayU/Cashfree + UPI</x:v>
      </x:c>
      <x:c r="C11" s="64" t="str">
        <x:v>Only with local partner/entity</x:v>
      </x:c>
      <x:c r="D11" s="65" t="str">
        <x:v>COD and logistics must be operationally modeled first.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1.110000610351562" hidden="0" customWidth="1"/>
    <x:col min="3" max="3" width="37.779998779296875" hidden="0" customWidth="1"/>
    <x:col min="4" max="4" width="57.779998779296875" hidden="0" customWidth="1"/>
  </x:cols>
  <x:sheetData>
    <x:row r="1" ht="28.5" customHeight="1">
      <x:c r="A1" s="17" t="str">
        <x:v>Source ID</x:v>
      </x:c>
      <x:c r="B1" s="22" t="str">
        <x:v>Source</x:v>
      </x:c>
      <x:c r="C1" s="22" t="str">
        <x:v>Use</x:v>
      </x:c>
      <x:c r="D1" s="18" t="str">
        <x:v>URL</x:v>
      </x:c>
    </x:row>
    <x:row r="2">
      <x:c r="A2" s="49" t="str">
        <x:v>S01</x:v>
      </x:c>
      <x:c r="B2" s="50" t="str">
        <x:v>Stripe payment methods overview</x:v>
      </x:c>
      <x:c r="C2" s="50" t="str">
        <x:v>Payment methods and availability concepts.</x:v>
      </x:c>
      <x:c r="D2" s="51" t="str">
        <x:v>https://docs.stripe.com/payments/payment-methods/overview</x:v>
      </x:c>
    </x:row>
    <x:row r="3">
      <x:c r="A3" s="52" t="str">
        <x:v>S02</x:v>
      </x:c>
      <x:c r="B3" s="53" t="str">
        <x:v>Shopify Payments supported countries</x:v>
      </x:c>
      <x:c r="C3" s="53" t="str">
        <x:v>Where Shopify Payments is available.</x:v>
      </x:c>
      <x:c r="D3" s="54" t="str">
        <x:v>https://help.shopify.com/en/manual/payments/shopify-payments/supported-countries</x:v>
      </x:c>
    </x:row>
    <x:row r="4">
      <x:c r="A4" s="52" t="str">
        <x:v>S03</x:v>
      </x:c>
      <x:c r="B4" s="53" t="str">
        <x:v>PayPal Checkout</x:v>
      </x:c>
      <x:c r="C4" s="53" t="str">
        <x:v>Merchant checkout product.</x:v>
      </x:c>
      <x:c r="D4" s="54" t="str">
        <x:v>https://www.paypal.com/us/business/accept-payments/checkout</x:v>
      </x:c>
    </x:row>
    <x:row r="5">
      <x:c r="A5" s="52" t="str">
        <x:v>S04</x:v>
      </x:c>
      <x:c r="B5" s="53" t="str">
        <x:v>Adyen payment methods</x:v>
      </x:c>
      <x:c r="C5" s="53" t="str">
        <x:v>Global/local payment method catalog.</x:v>
      </x:c>
      <x:c r="D5" s="54" t="str">
        <x:v>https://www.adyen.com/payment-methods</x:v>
      </x:c>
    </x:row>
    <x:row r="6">
      <x:c r="A6" s="52" t="str">
        <x:v>S05</x:v>
      </x:c>
      <x:c r="B6" s="53" t="str">
        <x:v>dLocal payment methods</x:v>
      </x:c>
      <x:c r="C6" s="53" t="str">
        <x:v>Emerging-market local payment method coverage.</x:v>
      </x:c>
      <x:c r="D6" s="54" t="str">
        <x:v>https://www.dlocal.com/payment-methods/</x:v>
      </x:c>
    </x:row>
    <x:row r="7">
      <x:c r="A7" s="52" t="str">
        <x:v>S06</x:v>
      </x:c>
      <x:c r="B7" s="53" t="str">
        <x:v>EBANX payment methods</x:v>
      </x:c>
      <x:c r="C7" s="53" t="str">
        <x:v>LatAm payment methods including Pix/OXXO/SPEI/PSE categories.</x:v>
      </x:c>
      <x:c r="D7" s="54" t="str">
        <x:v>https://business.ebanx.com/en/payment-methods</x:v>
      </x:c>
    </x:row>
    <x:row r="8">
      <x:c r="A8" s="52" t="str">
        <x:v>S07</x:v>
      </x:c>
      <x:c r="B8" s="53" t="str">
        <x:v>Mercado Pago Developers</x:v>
      </x:c>
      <x:c r="C8" s="53" t="str">
        <x:v>Mercado Pago online payments documentation.</x:v>
      </x:c>
      <x:c r="D8" s="54" t="str">
        <x:v>https://www.mercadopago.com/developers/en/docs</x:v>
      </x:c>
    </x:row>
    <x:row r="9">
      <x:c r="A9" s="52" t="str">
        <x:v>S09</x:v>
      </x:c>
      <x:c r="B9" s="53" t="str">
        <x:v>Conekta payment methods</x:v>
      </x:c>
      <x:c r="C9" s="53" t="str">
        <x:v>Mexico payment method documentation.</x:v>
      </x:c>
      <x:c r="D9" s="54" t="str">
        <x:v>https://developers.conekta.com/docs/payment-methods</x:v>
      </x:c>
    </x:row>
    <x:row r="10">
      <x:c r="A10" s="52" t="str">
        <x:v>S10</x:v>
      </x:c>
      <x:c r="B10" s="53" t="str">
        <x:v>PayU Latam docs</x:v>
      </x:c>
      <x:c r="C10" s="53" t="str">
        <x:v>LatAm payment integration docs.</x:v>
      </x:c>
      <x:c r="D10" s="54" t="str">
        <x:v>https://docs.payulatam.com/docs/integration-overview</x:v>
      </x:c>
    </x:row>
    <x:row r="11">
      <x:c r="A11" s="52" t="str">
        <x:v>S11</x:v>
      </x:c>
      <x:c r="B11" s="53" t="str">
        <x:v>KOMOJU payment methods</x:v>
      </x:c>
      <x:c r="C11" s="53" t="str">
        <x:v>Japan local payment methods.</x:v>
      </x:c>
      <x:c r="D11" s="54" t="str">
        <x:v>https://komoju.com/payment-methods/</x:v>
      </x:c>
    </x:row>
    <x:row r="12">
      <x:c r="A12" s="52" t="str">
        <x:v>S12</x:v>
      </x:c>
      <x:c r="B12" s="53" t="str">
        <x:v>Razorpay payment methods</x:v>
      </x:c>
      <x:c r="C12" s="53" t="str">
        <x:v>India payment method documentation.</x:v>
      </x:c>
      <x:c r="D12" s="54" t="str">
        <x:v>https://razorpay.com/docs/payments/payment-methods/</x:v>
      </x:c>
    </x:row>
    <x:row r="13">
      <x:c r="A13" s="52" t="str">
        <x:v>S13</x:v>
      </x:c>
      <x:c r="B13" s="53" t="str">
        <x:v>Airwallex global accounts</x:v>
      </x:c>
      <x:c r="C13" s="53" t="str">
        <x:v>Multi-currency business account product.</x:v>
      </x:c>
      <x:c r="D13" s="54" t="str">
        <x:v>https://www.airwallex.com/us/business-account/global-accounts</x:v>
      </x:c>
    </x:row>
    <x:row r="14">
      <x:c r="A14" s="52" t="str">
        <x:v>S14</x:v>
      </x:c>
      <x:c r="B14" s="53" t="str">
        <x:v>Payoneer marketplace payments</x:v>
      </x:c>
      <x:c r="C14" s="53" t="str">
        <x:v>Marketplace payout and seller payment product.</x:v>
      </x:c>
      <x:c r="D14" s="54" t="str">
        <x:v>https://www.payoneer.com/solutions/marketplace-payments/</x:v>
      </x:c>
    </x:row>
    <x:row r="15">
      <x:c r="A15" s="52" t="str">
        <x:v>S15</x:v>
      </x:c>
      <x:c r="B15" s="53" t="str">
        <x:v>WorldFirst marketplace solutions</x:v>
      </x:c>
      <x:c r="C15" s="53" t="str">
        <x:v>Marketplace collection and global account product.</x:v>
      </x:c>
      <x:c r="D15" s="54" t="str">
        <x:v>https://www.worldfirst.com/global/solution/marketplaces/</x:v>
      </x:c>
    </x:row>
    <x:row r="16">
      <x:c r="A16" s="52" t="str">
        <x:v>S16</x:v>
      </x:c>
      <x:c r="B16" s="53" t="str">
        <x:v>PingPong marketplace/platform solutions</x:v>
      </x:c>
      <x:c r="C16" s="53" t="str">
        <x:v>Cross-border platform and marketplace payment services.</x:v>
      </x:c>
      <x:c r="D16" s="54" t="str">
        <x:v>https://www.international.pingpongx.com/solutions/marketplace-platforms</x:v>
      </x:c>
    </x:row>
    <x:row r="17">
      <x:c r="A17" s="52" t="str">
        <x:v>S17</x:v>
      </x:c>
      <x:c r="B17" s="53" t="str">
        <x:v>LianLian Global</x:v>
      </x:c>
      <x:c r="C17" s="53" t="str">
        <x:v>Global payment and merchant services.</x:v>
      </x:c>
      <x:c r="D17" s="54" t="str">
        <x:v>https://www.lianlianglobal.com/</x:v>
      </x:c>
    </x:row>
    <x:row r="18">
      <x:c r="A18" s="52" t="str">
        <x:v>S18</x:v>
      </x:c>
      <x:c r="B18" s="53" t="str">
        <x:v>Trade.gov Mexico ecommerce</x:v>
      </x:c>
      <x:c r="C18" s="53" t="str">
        <x:v>Mexico ecommerce and payment context.</x:v>
      </x:c>
      <x:c r="D18" s="54" t="str">
        <x:v>https://www.trade.gov/country-commercial-guides/mexico-ecommerce</x:v>
      </x:c>
    </x:row>
    <x:row r="19">
      <x:c r="A19" s="52" t="str">
        <x:v>S19</x:v>
      </x:c>
      <x:c r="B19" s="53" t="str">
        <x:v>Trade.gov Chile ecommerce</x:v>
      </x:c>
      <x:c r="C19" s="53" t="str">
        <x:v>Chile ecommerce and payment context.</x:v>
      </x:c>
      <x:c r="D19" s="54" t="str">
        <x:v>https://www.trade.gov/country-commercial-guides/chile-ecommerce</x:v>
      </x:c>
    </x:row>
    <x:row r="20">
      <x:c r="A20" s="52" t="str">
        <x:v>S20</x:v>
      </x:c>
      <x:c r="B20" s="53" t="str">
        <x:v>Trade.gov Colombia ecommerce</x:v>
      </x:c>
      <x:c r="C20" s="53" t="str">
        <x:v>Colombia ecommerce and payment context.</x:v>
      </x:c>
      <x:c r="D20" s="54" t="str">
        <x:v>https://www.trade.gov/country-commercial-guides/colombia-ecommerce</x:v>
      </x:c>
    </x:row>
    <x:row r="21">
      <x:c r="A21" s="52" t="str">
        <x:v>S21</x:v>
      </x:c>
      <x:c r="B21" s="53" t="str">
        <x:v>Trade.gov Argentina ecommerce</x:v>
      </x:c>
      <x:c r="C21" s="53" t="str">
        <x:v>Argentina ecommerce and payment context.</x:v>
      </x:c>
      <x:c r="D21" s="54" t="str">
        <x:v>https://www.trade.gov/country-commercial-guides/argentina-ecommerce</x:v>
      </x:c>
    </x:row>
    <x:row r="22">
      <x:c r="A22" s="52" t="str">
        <x:v>S22</x:v>
      </x:c>
      <x:c r="B22" s="53" t="str">
        <x:v>Trade.gov Brazil ecommerce</x:v>
      </x:c>
      <x:c r="C22" s="53" t="str">
        <x:v>Brazil ecommerce and payment context.</x:v>
      </x:c>
      <x:c r="D22" s="54" t="str">
        <x:v>https://www.trade.gov/country-commercial-guides/brazil-ecommerce</x:v>
      </x:c>
    </x:row>
    <x:row r="23">
      <x:c r="A23" s="52" t="str">
        <x:v>S23</x:v>
      </x:c>
      <x:c r="B23" s="53" t="str">
        <x:v>Trade.gov India ecommerce</x:v>
      </x:c>
      <x:c r="C23" s="53" t="str">
        <x:v>India ecommerce and payment context.</x:v>
      </x:c>
      <x:c r="D23" s="54" t="str">
        <x:v>https://www.trade.gov/country-commercial-guides/india-ecommerce</x:v>
      </x:c>
    </x:row>
    <x:row r="24">
      <x:c r="A24" s="52" t="str">
        <x:v>S24</x:v>
      </x:c>
      <x:c r="B24" s="53" t="str">
        <x:v>Wise Business</x:v>
      </x:c>
      <x:c r="C24" s="53" t="str">
        <x:v>Multi-currency business account and transfer product.</x:v>
      </x:c>
      <x:c r="D24" s="54" t="str">
        <x:v>https://wise.com/us/business/</x:v>
      </x:c>
    </x:row>
    <x:row r="25">
      <x:c r="A25" s="52" t="str">
        <x:v>S25</x:v>
      </x:c>
      <x:c r="B25" s="53" t="str">
        <x:v>WorldFirst 1688/source workflows</x:v>
      </x:c>
      <x:c r="C25" s="53" t="str">
        <x:v>Supplier payment context for China sourcing.</x:v>
      </x:c>
      <x:c r="D25" s="54" t="str">
        <x:v>https://www.worldfirst.com/global/</x:v>
      </x:c>
    </x:row>
    <x:row r="26">
      <x:c r="A26" s="52" t="str">
        <x:v>S26</x:v>
      </x:c>
      <x:c r="B26" s="53" t="str">
        <x:v>European Commission VAT ecommerce/IOSS</x:v>
      </x:c>
      <x:c r="C26" s="53" t="str">
        <x:v>EU ecommerce VAT/import scheme context.</x:v>
      </x:c>
      <x:c r="D26" s="54" t="str">
        <x:v>https://taxation-customs.ec.europa.eu/vat-e-commerce_en</x:v>
      </x:c>
    </x:row>
    <x:row r="27">
      <x:c r="A27" s="52" t="str">
        <x:v>S27</x:v>
      </x:c>
      <x:c r="B27" s="53" t="str">
        <x:v>European Commission GPSR</x:v>
      </x:c>
      <x:c r="C27" s="53" t="str">
        <x:v>EU product safety obligations.</x:v>
      </x:c>
      <x:c r="D27" s="54" t="str">
        <x:v>https://commission.europa.eu/business-economy-euro/product-safety-and-requirements/product-safety/general-product-safety-regulation_en</x:v>
      </x:c>
    </x:row>
    <x:row r="28">
      <x:c r="A28" s="52" t="str">
        <x:v>S28</x:v>
      </x:c>
      <x:c r="B28" s="53" t="str">
        <x:v>Checkout.com</x:v>
      </x:c>
      <x:c r="C28" s="53" t="str">
        <x:v>Enterprise online payment platform.</x:v>
      </x:c>
      <x:c r="D28" s="54" t="str">
        <x:v>https://www.checkout.com/</x:v>
      </x:c>
    </x:row>
    <x:row r="29">
      <x:c r="A29" s="52" t="str">
        <x:v>S29</x:v>
      </x:c>
      <x:c r="B29" s="53" t="str">
        <x:v>Klarna business</x:v>
      </x:c>
      <x:c r="C29" s="53" t="str">
        <x:v>BNPL/payment product context.</x:v>
      </x:c>
      <x:c r="D29" s="54" t="str">
        <x:v>https://www.klarna.com/us/business/</x:v>
      </x:c>
    </x:row>
    <x:row r="30">
      <x:c r="A30" s="52" t="str">
        <x:v>S30</x:v>
      </x:c>
      <x:c r="B30" s="53" t="str">
        <x:v>Trade.gov Australia ecommerce</x:v>
      </x:c>
      <x:c r="C30" s="53" t="str">
        <x:v>Australia ecommerce context.</x:v>
      </x:c>
      <x:c r="D30" s="54" t="str">
        <x:v>https://www.trade.gov/country-commercial-guides/australia-ecommerce</x:v>
      </x:c>
    </x:row>
    <x:row r="31">
      <x:c r="A31" s="52" t="str">
        <x:v>S31</x:v>
      </x:c>
      <x:c r="B31" s="53" t="str">
        <x:v>Revolut Business multi-currency accounts</x:v>
      </x:c>
      <x:c r="C31" s="53" t="str">
        <x:v>Multi-currency business account, FX, supplier/customer payment context.</x:v>
      </x:c>
      <x:c r="D31" s="54" t="str">
        <x:v>https://www.revolut.com/business/multi-currency-accounts/</x:v>
      </x:c>
    </x:row>
    <x:row r="32">
      <x:c r="A32" s="52" t="str">
        <x:v>S32</x:v>
      </x:c>
      <x:c r="B32" s="53" t="str">
        <x:v>Revolut Business accept payments</x:v>
      </x:c>
      <x:c r="C32" s="53" t="str">
        <x:v>Merchant account, payment gateway, settlement, and Revolut Pay context.</x:v>
      </x:c>
      <x:c r="D32" s="54" t="str">
        <x:v>https://www.revolut.com/business/accept-payments/</x:v>
      </x:c>
    </x:row>
    <x:row r="33">
      <x:c r="A33" s="52" t="str">
        <x:v>S33</x:v>
      </x:c>
      <x:c r="B33" s="53" t="str">
        <x:v>Revolut Merchant API</x:v>
      </x:c>
      <x:c r="C33" s="53" t="str">
        <x:v>Online payment methods, widgets, hosted checkout, and plugins.</x:v>
      </x:c>
      <x:c r="D33" s="54" t="str">
        <x:v>https://developer.revolut.com/docs/accept-payments/</x:v>
      </x:c>
    </x:row>
    <x:row r="34">
      <x:c r="A34" s="63" t="str">
        <x:v>S34</x:v>
      </x:c>
      <x:c r="B34" s="64" t="str">
        <x:v>Revolut merchant eligibility</x:v>
      </x:c>
      <x:c r="C34" s="64" t="str">
        <x:v>Supported merchant account countries and eligibility constraints.</x:v>
      </x:c>
      <x:c r="D34" s="65" t="str">
        <x:v>https://help.revolut.com/help/merchant-accounts/setting-up-a-merchant-account/who-can-apply-for-a-merchant-account/business/</x:v>
      </x:c>
    </x:row>
  </x:sheetData>
  <x:pageMargins left="0.7" right="0.7" top="0.75" bottom="0.75" header="0.3" footer="0.3"/>
</x:worksheet>
</file>